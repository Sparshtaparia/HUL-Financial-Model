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ipr\Downloads\"/>
    </mc:Choice>
  </mc:AlternateContent>
  <xr:revisionPtr revIDLastSave="0" documentId="13_ncr:1_{14AAC09E-476D-4156-9689-11BF445EB191}" xr6:coauthVersionLast="47" xr6:coauthVersionMax="47" xr10:uidLastSave="{00000000-0000-0000-0000-000000000000}"/>
  <bookViews>
    <workbookView xWindow="-108" yWindow="-108" windowWidth="23256" windowHeight="12456" firstSheet="6" activeTab="7" xr2:uid="{00000000-000D-0000-FFFF-FFFF00000000}"/>
  </bookViews>
  <sheets>
    <sheet name="Profit &amp; Loss" sheetId="1" state="hidden" r:id="rId1"/>
    <sheet name="Quarters" sheetId="3" state="hidden" r:id="rId2"/>
    <sheet name="Balance Sheet" sheetId="2" state="hidden" r:id="rId3"/>
    <sheet name="Cash Flow" sheetId="4" state="hidden" r:id="rId4"/>
    <sheet name="Customization" sheetId="5" state="hidden" r:id="rId5"/>
    <sheet name="Historical FS" sheetId="7" r:id="rId6"/>
    <sheet name="Ratio Analysis" sheetId="9" r:id="rId7"/>
    <sheet name="DCF Modelling" sheetId="12" r:id="rId8"/>
    <sheet name="COMP Analysis" sheetId="11" r:id="rId9"/>
    <sheet name="Common Size Statement" sheetId="13" r:id="rId10"/>
    <sheet name="Trend Analysis" sheetId="14" r:id="rId11"/>
    <sheet name="Manual Data" sheetId="8" r:id="rId12"/>
    <sheet name="Data Sheet" sheetId="6" r:id="rId13"/>
    <sheet name="Data Sheet 2" sheetId="10" r:id="rId14"/>
  </sheets>
  <definedNames>
    <definedName name="UPDATE">'Data Sheet'!$E$1</definedName>
  </definedNames>
  <calcPr calcId="191029"/>
  <fileRecoveryPr repairLoad="1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7" i="12" l="1"/>
  <c r="S6" i="7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5" i="14"/>
  <c r="C4" i="14" a="1"/>
  <c r="C4" i="14" s="1"/>
  <c r="B4" i="14" a="1"/>
  <c r="B4" i="14" s="1"/>
  <c r="B2" i="14"/>
  <c r="D40" i="13"/>
  <c r="E40" i="13"/>
  <c r="F40" i="13"/>
  <c r="G40" i="13"/>
  <c r="H40" i="13"/>
  <c r="I40" i="13"/>
  <c r="J40" i="13"/>
  <c r="K40" i="13"/>
  <c r="L40" i="13"/>
  <c r="C40" i="13"/>
  <c r="D36" i="13"/>
  <c r="E36" i="13"/>
  <c r="F36" i="13"/>
  <c r="G36" i="13"/>
  <c r="H36" i="13"/>
  <c r="I36" i="13"/>
  <c r="J36" i="13"/>
  <c r="K36" i="13"/>
  <c r="L36" i="13"/>
  <c r="D37" i="13"/>
  <c r="E37" i="13"/>
  <c r="F37" i="13"/>
  <c r="G37" i="13"/>
  <c r="H37" i="13"/>
  <c r="I37" i="13"/>
  <c r="J37" i="13"/>
  <c r="K37" i="13"/>
  <c r="L37" i="13"/>
  <c r="D38" i="13"/>
  <c r="E38" i="13"/>
  <c r="F38" i="13"/>
  <c r="G38" i="13"/>
  <c r="H38" i="13"/>
  <c r="I38" i="13"/>
  <c r="J38" i="13"/>
  <c r="K38" i="13"/>
  <c r="L38" i="13"/>
  <c r="C37" i="13"/>
  <c r="C38" i="13"/>
  <c r="C36" i="13"/>
  <c r="D35" i="13"/>
  <c r="E35" i="13"/>
  <c r="F35" i="13"/>
  <c r="G35" i="13"/>
  <c r="H35" i="13"/>
  <c r="I35" i="13"/>
  <c r="J35" i="13"/>
  <c r="K35" i="13"/>
  <c r="L35" i="13"/>
  <c r="C35" i="13"/>
  <c r="D32" i="13"/>
  <c r="E32" i="13"/>
  <c r="F32" i="13"/>
  <c r="G32" i="13"/>
  <c r="H32" i="13"/>
  <c r="I32" i="13"/>
  <c r="J32" i="13"/>
  <c r="K32" i="13"/>
  <c r="L32" i="13"/>
  <c r="D33" i="13"/>
  <c r="E33" i="13"/>
  <c r="F33" i="13"/>
  <c r="G33" i="13"/>
  <c r="H33" i="13"/>
  <c r="I33" i="13"/>
  <c r="J33" i="13"/>
  <c r="K33" i="13"/>
  <c r="L33" i="13"/>
  <c r="D34" i="13"/>
  <c r="E34" i="13"/>
  <c r="F34" i="13"/>
  <c r="G34" i="13"/>
  <c r="H34" i="13"/>
  <c r="I34" i="13"/>
  <c r="J34" i="13"/>
  <c r="K34" i="13"/>
  <c r="L34" i="13"/>
  <c r="C33" i="13"/>
  <c r="C34" i="13"/>
  <c r="C32" i="13"/>
  <c r="D25" i="13"/>
  <c r="E25" i="13"/>
  <c r="F25" i="13"/>
  <c r="G25" i="13"/>
  <c r="H25" i="13"/>
  <c r="I25" i="13"/>
  <c r="J25" i="13"/>
  <c r="K25" i="13"/>
  <c r="L25" i="13"/>
  <c r="D26" i="13"/>
  <c r="E26" i="13"/>
  <c r="F26" i="13"/>
  <c r="G26" i="13"/>
  <c r="H26" i="13"/>
  <c r="I26" i="13"/>
  <c r="J26" i="13"/>
  <c r="K26" i="13"/>
  <c r="L26" i="13"/>
  <c r="D27" i="13"/>
  <c r="E27" i="13"/>
  <c r="F27" i="13"/>
  <c r="G27" i="13"/>
  <c r="H27" i="13"/>
  <c r="I27" i="13"/>
  <c r="J27" i="13"/>
  <c r="K27" i="13"/>
  <c r="L27" i="13"/>
  <c r="D28" i="13"/>
  <c r="E28" i="13"/>
  <c r="F28" i="13"/>
  <c r="G28" i="13"/>
  <c r="H28" i="13"/>
  <c r="I28" i="13"/>
  <c r="J28" i="13"/>
  <c r="K28" i="13"/>
  <c r="L28" i="13"/>
  <c r="D30" i="13"/>
  <c r="E30" i="13"/>
  <c r="F30" i="13"/>
  <c r="G30" i="13"/>
  <c r="H30" i="13"/>
  <c r="I30" i="13"/>
  <c r="J30" i="13"/>
  <c r="K30" i="13"/>
  <c r="L30" i="13"/>
  <c r="C26" i="13"/>
  <c r="C27" i="13"/>
  <c r="C28" i="13"/>
  <c r="C30" i="13"/>
  <c r="C25" i="13"/>
  <c r="C74" i="6"/>
  <c r="D74" i="6"/>
  <c r="E74" i="6"/>
  <c r="F74" i="6"/>
  <c r="G74" i="6"/>
  <c r="H74" i="6"/>
  <c r="I74" i="6"/>
  <c r="J74" i="6"/>
  <c r="K74" i="6"/>
  <c r="B74" i="6"/>
  <c r="B38" i="13"/>
  <c r="B26" i="13"/>
  <c r="B27" i="13"/>
  <c r="B28" i="13"/>
  <c r="B32" i="13"/>
  <c r="B33" i="13"/>
  <c r="B34" i="13"/>
  <c r="B35" i="13"/>
  <c r="B36" i="13"/>
  <c r="B37" i="13"/>
  <c r="B25" i="13"/>
  <c r="B2" i="11"/>
  <c r="B2" i="12"/>
  <c r="E2" i="12"/>
  <c r="B2" i="7"/>
  <c r="B2" i="9"/>
  <c r="B23" i="13"/>
  <c r="B2" i="13"/>
  <c r="D4" i="13"/>
  <c r="E4" i="13"/>
  <c r="F4" i="13"/>
  <c r="G4" i="13"/>
  <c r="H4" i="13"/>
  <c r="I4" i="13"/>
  <c r="J4" i="13"/>
  <c r="K4" i="13"/>
  <c r="L4" i="13"/>
  <c r="D5" i="13"/>
  <c r="E5" i="13"/>
  <c r="F5" i="13"/>
  <c r="G5" i="13"/>
  <c r="H5" i="13"/>
  <c r="I5" i="13"/>
  <c r="J5" i="13"/>
  <c r="K5" i="13"/>
  <c r="L5" i="13"/>
  <c r="D6" i="13"/>
  <c r="E6" i="13"/>
  <c r="F6" i="13"/>
  <c r="G6" i="13"/>
  <c r="H6" i="13"/>
  <c r="I6" i="13"/>
  <c r="J6" i="13"/>
  <c r="K6" i="13"/>
  <c r="L6" i="13"/>
  <c r="D7" i="13"/>
  <c r="E7" i="13"/>
  <c r="F7" i="13"/>
  <c r="G7" i="13"/>
  <c r="H7" i="13"/>
  <c r="I7" i="13"/>
  <c r="J7" i="13"/>
  <c r="K7" i="13"/>
  <c r="L7" i="13"/>
  <c r="D8" i="13"/>
  <c r="E8" i="13"/>
  <c r="F8" i="13"/>
  <c r="G8" i="13"/>
  <c r="H8" i="13"/>
  <c r="I8" i="13"/>
  <c r="J8" i="13"/>
  <c r="K8" i="13"/>
  <c r="L8" i="13"/>
  <c r="D9" i="13"/>
  <c r="E9" i="13"/>
  <c r="F9" i="13"/>
  <c r="G9" i="13"/>
  <c r="H9" i="13"/>
  <c r="I9" i="13"/>
  <c r="J9" i="13"/>
  <c r="K9" i="13"/>
  <c r="L9" i="13"/>
  <c r="D10" i="13"/>
  <c r="E10" i="13"/>
  <c r="F10" i="13"/>
  <c r="G10" i="13"/>
  <c r="H10" i="13"/>
  <c r="I10" i="13"/>
  <c r="J10" i="13"/>
  <c r="K10" i="13"/>
  <c r="L10" i="13"/>
  <c r="D11" i="13"/>
  <c r="E11" i="13"/>
  <c r="F11" i="13"/>
  <c r="G11" i="13"/>
  <c r="H11" i="13"/>
  <c r="I11" i="13"/>
  <c r="J11" i="13"/>
  <c r="K11" i="13"/>
  <c r="L11" i="13"/>
  <c r="D12" i="13"/>
  <c r="E12" i="13"/>
  <c r="F12" i="13"/>
  <c r="G12" i="13"/>
  <c r="H12" i="13"/>
  <c r="I12" i="13"/>
  <c r="J12" i="13"/>
  <c r="K12" i="13"/>
  <c r="L12" i="13"/>
  <c r="D13" i="13"/>
  <c r="E13" i="13"/>
  <c r="F13" i="13"/>
  <c r="G13" i="13"/>
  <c r="H13" i="13"/>
  <c r="I13" i="13"/>
  <c r="J13" i="13"/>
  <c r="K13" i="13"/>
  <c r="L13" i="13"/>
  <c r="D14" i="13"/>
  <c r="E14" i="13"/>
  <c r="F14" i="13"/>
  <c r="G14" i="13"/>
  <c r="H14" i="13"/>
  <c r="I14" i="13"/>
  <c r="J14" i="13"/>
  <c r="K14" i="13"/>
  <c r="L14" i="13"/>
  <c r="D15" i="13"/>
  <c r="E15" i="13"/>
  <c r="F15" i="13"/>
  <c r="G15" i="13"/>
  <c r="H15" i="13"/>
  <c r="I15" i="13"/>
  <c r="J15" i="13"/>
  <c r="K15" i="13"/>
  <c r="L15" i="13"/>
  <c r="D16" i="13"/>
  <c r="E16" i="13"/>
  <c r="F16" i="13"/>
  <c r="G16" i="13"/>
  <c r="H16" i="13"/>
  <c r="I16" i="13"/>
  <c r="J16" i="13"/>
  <c r="K16" i="13"/>
  <c r="L16" i="13"/>
  <c r="D17" i="13"/>
  <c r="E17" i="13"/>
  <c r="F17" i="13"/>
  <c r="G17" i="13"/>
  <c r="H17" i="13"/>
  <c r="I17" i="13"/>
  <c r="J17" i="13"/>
  <c r="K17" i="13"/>
  <c r="L17" i="13"/>
  <c r="D18" i="13"/>
  <c r="E18" i="13"/>
  <c r="F18" i="13"/>
  <c r="G18" i="13"/>
  <c r="H18" i="13"/>
  <c r="I18" i="13"/>
  <c r="J18" i="13"/>
  <c r="K18" i="13"/>
  <c r="L18" i="13"/>
  <c r="D19" i="13"/>
  <c r="E19" i="13"/>
  <c r="F19" i="13"/>
  <c r="G19" i="13"/>
  <c r="H19" i="13"/>
  <c r="I19" i="13"/>
  <c r="J19" i="13"/>
  <c r="K19" i="13"/>
  <c r="L19" i="13"/>
  <c r="D20" i="13"/>
  <c r="E20" i="13"/>
  <c r="F20" i="13"/>
  <c r="G20" i="13"/>
  <c r="H20" i="13"/>
  <c r="I20" i="13"/>
  <c r="J20" i="13"/>
  <c r="K20" i="13"/>
  <c r="L20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4" i="13"/>
  <c r="B19" i="13"/>
  <c r="B20" i="13"/>
  <c r="C33" i="6"/>
  <c r="D33" i="6"/>
  <c r="E33" i="6"/>
  <c r="F33" i="6"/>
  <c r="G33" i="6"/>
  <c r="H33" i="6"/>
  <c r="I33" i="6"/>
  <c r="J33" i="6"/>
  <c r="K33" i="6"/>
  <c r="B33" i="6"/>
  <c r="C32" i="6"/>
  <c r="D32" i="6"/>
  <c r="E32" i="6"/>
  <c r="F32" i="6"/>
  <c r="G32" i="6"/>
  <c r="H32" i="6"/>
  <c r="I32" i="6"/>
  <c r="J32" i="6"/>
  <c r="K32" i="6"/>
  <c r="B32" i="6"/>
  <c r="B5" i="13" l="1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4" i="13"/>
  <c r="L3" i="13"/>
  <c r="L24" i="13" s="1"/>
  <c r="K3" i="13"/>
  <c r="K24" i="13" s="1"/>
  <c r="J3" i="13"/>
  <c r="J24" i="13" s="1"/>
  <c r="I3" i="13"/>
  <c r="I24" i="13" s="1"/>
  <c r="H3" i="13"/>
  <c r="H24" i="13" s="1"/>
  <c r="G3" i="13"/>
  <c r="G24" i="13" s="1"/>
  <c r="F3" i="13"/>
  <c r="F24" i="13" s="1"/>
  <c r="E3" i="13"/>
  <c r="E24" i="13" s="1"/>
  <c r="D3" i="13"/>
  <c r="D24" i="13" s="1"/>
  <c r="C3" i="13"/>
  <c r="C24" i="13" s="1"/>
  <c r="O22" i="11" l="1"/>
  <c r="P22" i="11"/>
  <c r="N22" i="11"/>
  <c r="O21" i="11"/>
  <c r="O23" i="11" s="1"/>
  <c r="P21" i="11"/>
  <c r="P23" i="11" s="1"/>
  <c r="N21" i="11"/>
  <c r="N23" i="11" s="1"/>
  <c r="O20" i="11"/>
  <c r="P20" i="11"/>
  <c r="N20" i="11"/>
  <c r="P19" i="11"/>
  <c r="O19" i="11"/>
  <c r="N19" i="11"/>
  <c r="O16" i="11"/>
  <c r="P16" i="11"/>
  <c r="O15" i="11"/>
  <c r="P15" i="11"/>
  <c r="N16" i="11"/>
  <c r="N15" i="11"/>
  <c r="O14" i="11"/>
  <c r="P14" i="11"/>
  <c r="N14" i="11"/>
  <c r="O13" i="11"/>
  <c r="P13" i="11"/>
  <c r="N13" i="11"/>
  <c r="O12" i="11"/>
  <c r="P12" i="11"/>
  <c r="N12" i="11"/>
  <c r="O11" i="11"/>
  <c r="P11" i="11"/>
  <c r="N11" i="11"/>
  <c r="F8" i="11"/>
  <c r="I5" i="11"/>
  <c r="P6" i="11"/>
  <c r="P7" i="11"/>
  <c r="P8" i="11"/>
  <c r="P5" i="11"/>
  <c r="O6" i="11" l="1"/>
  <c r="O7" i="11"/>
  <c r="O8" i="11"/>
  <c r="N6" i="11"/>
  <c r="N7" i="11"/>
  <c r="N8" i="11"/>
  <c r="L5" i="11" l="1"/>
  <c r="K5" i="11"/>
  <c r="J5" i="11"/>
  <c r="G6" i="11"/>
  <c r="G7" i="11"/>
  <c r="G8" i="11"/>
  <c r="G5" i="11"/>
  <c r="F7" i="11"/>
  <c r="F6" i="11"/>
  <c r="F5" i="11"/>
  <c r="E6" i="11"/>
  <c r="E7" i="11"/>
  <c r="E8" i="11"/>
  <c r="E5" i="11"/>
  <c r="O5" i="11" l="1"/>
  <c r="N5" i="11"/>
  <c r="C11" i="12"/>
  <c r="F23" i="12"/>
  <c r="D86" i="7"/>
  <c r="E86" i="7"/>
  <c r="F86" i="7"/>
  <c r="G86" i="7"/>
  <c r="H86" i="7"/>
  <c r="I86" i="7"/>
  <c r="J86" i="7"/>
  <c r="K86" i="7"/>
  <c r="L86" i="7"/>
  <c r="D87" i="7"/>
  <c r="E87" i="7"/>
  <c r="F87" i="7"/>
  <c r="G87" i="7"/>
  <c r="H87" i="7"/>
  <c r="I87" i="7"/>
  <c r="J87" i="7"/>
  <c r="K87" i="7"/>
  <c r="L87" i="7"/>
  <c r="D88" i="7"/>
  <c r="E88" i="7"/>
  <c r="F88" i="7"/>
  <c r="G88" i="7"/>
  <c r="H88" i="7"/>
  <c r="I88" i="7"/>
  <c r="J88" i="7"/>
  <c r="K88" i="7"/>
  <c r="L88" i="7"/>
  <c r="D89" i="7"/>
  <c r="E89" i="7"/>
  <c r="F89" i="7"/>
  <c r="G89" i="7"/>
  <c r="H89" i="7"/>
  <c r="I89" i="7"/>
  <c r="J89" i="7"/>
  <c r="K89" i="7"/>
  <c r="L89" i="7"/>
  <c r="D90" i="7"/>
  <c r="E90" i="7"/>
  <c r="F90" i="7"/>
  <c r="G90" i="7"/>
  <c r="H90" i="7"/>
  <c r="I90" i="7"/>
  <c r="J90" i="7"/>
  <c r="K90" i="7"/>
  <c r="L90" i="7"/>
  <c r="D91" i="7"/>
  <c r="E91" i="7"/>
  <c r="F91" i="7"/>
  <c r="G91" i="7"/>
  <c r="H91" i="7"/>
  <c r="I91" i="7"/>
  <c r="J91" i="7"/>
  <c r="K91" i="7"/>
  <c r="L91" i="7"/>
  <c r="D92" i="7"/>
  <c r="E92" i="7"/>
  <c r="F92" i="7"/>
  <c r="G92" i="7"/>
  <c r="H92" i="7"/>
  <c r="I92" i="7"/>
  <c r="J92" i="7"/>
  <c r="K92" i="7"/>
  <c r="L92" i="7"/>
  <c r="C87" i="7"/>
  <c r="C88" i="7"/>
  <c r="C89" i="7"/>
  <c r="C90" i="7"/>
  <c r="C91" i="7"/>
  <c r="C92" i="7"/>
  <c r="C86" i="7"/>
  <c r="C72" i="7"/>
  <c r="D72" i="7"/>
  <c r="E72" i="7"/>
  <c r="F72" i="7"/>
  <c r="G72" i="7"/>
  <c r="H72" i="7"/>
  <c r="I72" i="7"/>
  <c r="J72" i="7"/>
  <c r="K72" i="7"/>
  <c r="L72" i="7"/>
  <c r="D73" i="7"/>
  <c r="E73" i="7"/>
  <c r="F73" i="7"/>
  <c r="G73" i="7"/>
  <c r="H73" i="7"/>
  <c r="I73" i="7"/>
  <c r="J73" i="7"/>
  <c r="K73" i="7"/>
  <c r="L73" i="7"/>
  <c r="D74" i="7"/>
  <c r="E74" i="7"/>
  <c r="F74" i="7"/>
  <c r="G74" i="7"/>
  <c r="H74" i="7"/>
  <c r="I74" i="7"/>
  <c r="J74" i="7"/>
  <c r="K74" i="7"/>
  <c r="L74" i="7"/>
  <c r="D75" i="7"/>
  <c r="E75" i="7"/>
  <c r="F75" i="7"/>
  <c r="G75" i="7"/>
  <c r="H75" i="7"/>
  <c r="I75" i="7"/>
  <c r="J75" i="7"/>
  <c r="K75" i="7"/>
  <c r="L75" i="7"/>
  <c r="D76" i="7"/>
  <c r="E76" i="7"/>
  <c r="F76" i="7"/>
  <c r="G76" i="7"/>
  <c r="H76" i="7"/>
  <c r="I76" i="7"/>
  <c r="J76" i="7"/>
  <c r="K76" i="7"/>
  <c r="L76" i="7"/>
  <c r="D77" i="7"/>
  <c r="E77" i="7"/>
  <c r="F77" i="7"/>
  <c r="G77" i="7"/>
  <c r="H77" i="7"/>
  <c r="I77" i="7"/>
  <c r="J77" i="7"/>
  <c r="K77" i="7"/>
  <c r="L77" i="7"/>
  <c r="D78" i="7"/>
  <c r="E78" i="7"/>
  <c r="F78" i="7"/>
  <c r="G78" i="7"/>
  <c r="H78" i="7"/>
  <c r="I78" i="7"/>
  <c r="J78" i="7"/>
  <c r="K78" i="7"/>
  <c r="L78" i="7"/>
  <c r="D79" i="7"/>
  <c r="E79" i="7"/>
  <c r="F79" i="7"/>
  <c r="G79" i="7"/>
  <c r="H79" i="7"/>
  <c r="I79" i="7"/>
  <c r="J79" i="7"/>
  <c r="K79" i="7"/>
  <c r="L79" i="7"/>
  <c r="D80" i="7"/>
  <c r="E80" i="7"/>
  <c r="F80" i="7"/>
  <c r="G80" i="7"/>
  <c r="H80" i="7"/>
  <c r="I80" i="7"/>
  <c r="J80" i="7"/>
  <c r="K80" i="7"/>
  <c r="L80" i="7"/>
  <c r="D81" i="7"/>
  <c r="E81" i="7"/>
  <c r="F81" i="7"/>
  <c r="G81" i="7"/>
  <c r="H81" i="7"/>
  <c r="I81" i="7"/>
  <c r="J81" i="7"/>
  <c r="K81" i="7"/>
  <c r="L81" i="7"/>
  <c r="D82" i="7"/>
  <c r="E82" i="7"/>
  <c r="F82" i="7"/>
  <c r="G82" i="7"/>
  <c r="H82" i="7"/>
  <c r="I82" i="7"/>
  <c r="J82" i="7"/>
  <c r="K82" i="7"/>
  <c r="L82" i="7"/>
  <c r="C74" i="7"/>
  <c r="C75" i="7"/>
  <c r="C76" i="7"/>
  <c r="C77" i="7"/>
  <c r="C78" i="7"/>
  <c r="C79" i="7"/>
  <c r="C80" i="7"/>
  <c r="C81" i="7"/>
  <c r="C82" i="7"/>
  <c r="C73" i="7"/>
  <c r="D59" i="7"/>
  <c r="E59" i="7"/>
  <c r="F59" i="7"/>
  <c r="G59" i="7"/>
  <c r="H59" i="7"/>
  <c r="I59" i="7"/>
  <c r="J59" i="7"/>
  <c r="K59" i="7"/>
  <c r="L59" i="7"/>
  <c r="D60" i="7"/>
  <c r="E60" i="7"/>
  <c r="F60" i="7"/>
  <c r="G60" i="7"/>
  <c r="H60" i="7"/>
  <c r="I60" i="7"/>
  <c r="J60" i="7"/>
  <c r="K60" i="7"/>
  <c r="L60" i="7"/>
  <c r="D61" i="7"/>
  <c r="E61" i="7"/>
  <c r="F61" i="7"/>
  <c r="G61" i="7"/>
  <c r="H61" i="7"/>
  <c r="I61" i="7"/>
  <c r="J61" i="7"/>
  <c r="K61" i="7"/>
  <c r="L61" i="7"/>
  <c r="D62" i="7"/>
  <c r="E62" i="7"/>
  <c r="F62" i="7"/>
  <c r="G62" i="7"/>
  <c r="H62" i="7"/>
  <c r="I62" i="7"/>
  <c r="J62" i="7"/>
  <c r="K62" i="7"/>
  <c r="L62" i="7"/>
  <c r="D63" i="7"/>
  <c r="E63" i="7"/>
  <c r="F63" i="7"/>
  <c r="G63" i="7"/>
  <c r="H63" i="7"/>
  <c r="I63" i="7"/>
  <c r="J63" i="7"/>
  <c r="K63" i="7"/>
  <c r="L63" i="7"/>
  <c r="D64" i="7"/>
  <c r="E64" i="7"/>
  <c r="F64" i="7"/>
  <c r="G64" i="7"/>
  <c r="H64" i="7"/>
  <c r="I64" i="7"/>
  <c r="J64" i="7"/>
  <c r="K64" i="7"/>
  <c r="L64" i="7"/>
  <c r="D65" i="7"/>
  <c r="E65" i="7"/>
  <c r="F65" i="7"/>
  <c r="G65" i="7"/>
  <c r="H65" i="7"/>
  <c r="I65" i="7"/>
  <c r="J65" i="7"/>
  <c r="K65" i="7"/>
  <c r="L65" i="7"/>
  <c r="D66" i="7"/>
  <c r="E66" i="7"/>
  <c r="F66" i="7"/>
  <c r="G66" i="7"/>
  <c r="H66" i="7"/>
  <c r="I66" i="7"/>
  <c r="J66" i="7"/>
  <c r="K66" i="7"/>
  <c r="L66" i="7"/>
  <c r="D67" i="7"/>
  <c r="E67" i="7"/>
  <c r="F67" i="7"/>
  <c r="G67" i="7"/>
  <c r="H67" i="7"/>
  <c r="I67" i="7"/>
  <c r="J67" i="7"/>
  <c r="K67" i="7"/>
  <c r="L67" i="7"/>
  <c r="D68" i="7"/>
  <c r="E68" i="7"/>
  <c r="F68" i="7"/>
  <c r="G68" i="7"/>
  <c r="H68" i="7"/>
  <c r="I68" i="7"/>
  <c r="J68" i="7"/>
  <c r="K68" i="7"/>
  <c r="L68" i="7"/>
  <c r="C60" i="7"/>
  <c r="C61" i="7"/>
  <c r="C62" i="7"/>
  <c r="C63" i="7"/>
  <c r="C64" i="7"/>
  <c r="C65" i="7"/>
  <c r="C66" i="7"/>
  <c r="C67" i="7"/>
  <c r="C68" i="7"/>
  <c r="C59" i="7"/>
  <c r="G6" i="12" l="1"/>
  <c r="H6" i="12"/>
  <c r="I6" i="12"/>
  <c r="J6" i="12"/>
  <c r="K6" i="12"/>
  <c r="L6" i="12"/>
  <c r="M6" i="12"/>
  <c r="N6" i="12"/>
  <c r="O6" i="12"/>
  <c r="D40" i="7"/>
  <c r="E40" i="7"/>
  <c r="F40" i="7"/>
  <c r="G40" i="7"/>
  <c r="H40" i="7"/>
  <c r="I40" i="7"/>
  <c r="J40" i="7"/>
  <c r="K40" i="7"/>
  <c r="L40" i="7"/>
  <c r="C40" i="7"/>
  <c r="D39" i="7"/>
  <c r="E39" i="7"/>
  <c r="F39" i="7"/>
  <c r="G39" i="7"/>
  <c r="H39" i="7"/>
  <c r="I39" i="7"/>
  <c r="J39" i="7"/>
  <c r="K39" i="7"/>
  <c r="L39" i="7"/>
  <c r="C39" i="7"/>
  <c r="G7" i="12"/>
  <c r="H7" i="12"/>
  <c r="I7" i="12"/>
  <c r="J7" i="12"/>
  <c r="K7" i="12"/>
  <c r="L7" i="12"/>
  <c r="M7" i="12"/>
  <c r="N7" i="12"/>
  <c r="O7" i="12"/>
  <c r="F7" i="12"/>
  <c r="G5" i="12"/>
  <c r="H5" i="12"/>
  <c r="I5" i="12"/>
  <c r="J5" i="12"/>
  <c r="K5" i="12"/>
  <c r="L5" i="12"/>
  <c r="M5" i="12"/>
  <c r="N5" i="12"/>
  <c r="O5" i="12"/>
  <c r="F5" i="12"/>
  <c r="C7" i="12"/>
  <c r="C13" i="12" s="1"/>
  <c r="C15" i="12"/>
  <c r="C14" i="12"/>
  <c r="F13" i="12" l="1"/>
  <c r="C10" i="12"/>
  <c r="N16" i="12" l="1"/>
  <c r="G16" i="12"/>
  <c r="H16" i="12"/>
  <c r="F16" i="12"/>
  <c r="O16" i="12"/>
  <c r="I16" i="12"/>
  <c r="J16" i="12"/>
  <c r="K16" i="12"/>
  <c r="L16" i="12"/>
  <c r="M16" i="12"/>
  <c r="F6" i="12"/>
  <c r="D9" i="7"/>
  <c r="E9" i="7"/>
  <c r="F9" i="7"/>
  <c r="G9" i="7"/>
  <c r="H9" i="7"/>
  <c r="I9" i="7"/>
  <c r="J9" i="7"/>
  <c r="K9" i="7"/>
  <c r="L9" i="7"/>
  <c r="C9" i="7"/>
  <c r="N37" i="9"/>
  <c r="D37" i="9"/>
  <c r="E37" i="9"/>
  <c r="F37" i="9"/>
  <c r="G37" i="9"/>
  <c r="H37" i="9"/>
  <c r="I37" i="9"/>
  <c r="M37" i="9" s="1"/>
  <c r="J37" i="9"/>
  <c r="K37" i="9"/>
  <c r="L37" i="9"/>
  <c r="C37" i="9"/>
  <c r="N32" i="9"/>
  <c r="O32" i="9"/>
  <c r="P32" i="9"/>
  <c r="Q32" i="9"/>
  <c r="M32" i="9"/>
  <c r="J32" i="9"/>
  <c r="K32" i="9"/>
  <c r="L32" i="9"/>
  <c r="I32" i="9"/>
  <c r="P37" i="9" l="1"/>
  <c r="Q37" i="9"/>
  <c r="O37" i="9"/>
  <c r="M36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C22" i="9"/>
  <c r="G21" i="9"/>
  <c r="G38" i="9" s="1"/>
  <c r="G40" i="9" s="1"/>
  <c r="K21" i="9"/>
  <c r="K38" i="9" s="1"/>
  <c r="D42" i="7"/>
  <c r="I42" i="7"/>
  <c r="J42" i="7"/>
  <c r="K42" i="7"/>
  <c r="O39" i="7"/>
  <c r="N40" i="7"/>
  <c r="P40" i="7"/>
  <c r="Q40" i="7"/>
  <c r="M40" i="7"/>
  <c r="G42" i="7"/>
  <c r="H42" i="7"/>
  <c r="C42" i="7"/>
  <c r="G9" i="12"/>
  <c r="H9" i="12"/>
  <c r="I9" i="12"/>
  <c r="J9" i="12"/>
  <c r="K9" i="12"/>
  <c r="L9" i="12"/>
  <c r="M9" i="12"/>
  <c r="N9" i="12"/>
  <c r="O9" i="12"/>
  <c r="F9" i="12"/>
  <c r="I40" i="8" a="1"/>
  <c r="I40" i="8" s="1"/>
  <c r="I39" i="8" a="1"/>
  <c r="I39" i="8" s="1"/>
  <c r="I38" i="8" a="1"/>
  <c r="I38" i="8" s="1"/>
  <c r="I37" i="8" a="1"/>
  <c r="I37" i="8" s="1"/>
  <c r="N37" i="8" s="1"/>
  <c r="I36" i="8" a="1"/>
  <c r="I36" i="8" s="1"/>
  <c r="N36" i="8" s="1"/>
  <c r="G19" i="9"/>
  <c r="G36" i="9" s="1"/>
  <c r="M3" i="9"/>
  <c r="N3" i="9" s="1"/>
  <c r="O3" i="9" s="1"/>
  <c r="P3" i="9" s="1"/>
  <c r="Q3" i="9" s="1"/>
  <c r="L3" i="9"/>
  <c r="K3" i="9"/>
  <c r="J3" i="9"/>
  <c r="I3" i="9"/>
  <c r="H3" i="9"/>
  <c r="G3" i="9"/>
  <c r="F3" i="9"/>
  <c r="E3" i="9"/>
  <c r="D3" i="9"/>
  <c r="C3" i="9"/>
  <c r="M3" i="7"/>
  <c r="M38" i="7" s="1"/>
  <c r="K6" i="7"/>
  <c r="K20" i="9" s="1"/>
  <c r="L6" i="7"/>
  <c r="L20" i="9" s="1"/>
  <c r="L7" i="7"/>
  <c r="K19" i="9"/>
  <c r="K36" i="9" s="1"/>
  <c r="L19" i="9"/>
  <c r="L36" i="9" s="1"/>
  <c r="K14" i="7"/>
  <c r="L14" i="7"/>
  <c r="K19" i="7"/>
  <c r="L19" i="7"/>
  <c r="N8" i="12"/>
  <c r="N10" i="12" s="1"/>
  <c r="N17" i="12" s="1"/>
  <c r="O8" i="12"/>
  <c r="O10" i="12" s="1"/>
  <c r="F14" i="12" s="1"/>
  <c r="O18" i="12" s="1"/>
  <c r="Q3" i="12" s="1"/>
  <c r="G8" i="12"/>
  <c r="G10" i="12" s="1"/>
  <c r="H8" i="12"/>
  <c r="I8" i="12"/>
  <c r="J8" i="12"/>
  <c r="J10" i="12" s="1"/>
  <c r="J17" i="12" s="1"/>
  <c r="K8" i="12"/>
  <c r="K10" i="12" s="1"/>
  <c r="K17" i="12" s="1"/>
  <c r="L8" i="12"/>
  <c r="L10" i="12" s="1"/>
  <c r="L17" i="12" s="1"/>
  <c r="M8" i="12"/>
  <c r="M10" i="12" s="1"/>
  <c r="M17" i="12" s="1"/>
  <c r="C49" i="7"/>
  <c r="D49" i="7"/>
  <c r="E49" i="7"/>
  <c r="F49" i="7"/>
  <c r="G49" i="7"/>
  <c r="H49" i="7"/>
  <c r="I49" i="7"/>
  <c r="J49" i="7"/>
  <c r="J20" i="9" s="1"/>
  <c r="K49" i="7"/>
  <c r="L49" i="7"/>
  <c r="C50" i="7"/>
  <c r="D50" i="7"/>
  <c r="E50" i="7"/>
  <c r="F50" i="7"/>
  <c r="G50" i="7"/>
  <c r="H50" i="7"/>
  <c r="I50" i="7"/>
  <c r="J50" i="7"/>
  <c r="K50" i="7"/>
  <c r="L50" i="7"/>
  <c r="C51" i="7"/>
  <c r="D51" i="7"/>
  <c r="E51" i="7"/>
  <c r="F51" i="7"/>
  <c r="G51" i="7"/>
  <c r="H51" i="7"/>
  <c r="I51" i="7"/>
  <c r="J51" i="7"/>
  <c r="K51" i="7"/>
  <c r="L51" i="7"/>
  <c r="D47" i="7"/>
  <c r="E47" i="7"/>
  <c r="F47" i="7"/>
  <c r="G47" i="7"/>
  <c r="H47" i="7"/>
  <c r="I47" i="7"/>
  <c r="J47" i="7"/>
  <c r="K47" i="7"/>
  <c r="L47" i="7"/>
  <c r="C47" i="7"/>
  <c r="D44" i="7"/>
  <c r="E44" i="7"/>
  <c r="F44" i="7"/>
  <c r="G44" i="7"/>
  <c r="H44" i="7"/>
  <c r="I44" i="7"/>
  <c r="J44" i="7"/>
  <c r="K44" i="7"/>
  <c r="L44" i="7"/>
  <c r="D45" i="7"/>
  <c r="E45" i="7"/>
  <c r="F45" i="7"/>
  <c r="G45" i="7"/>
  <c r="H45" i="7"/>
  <c r="I45" i="7"/>
  <c r="J45" i="7"/>
  <c r="K45" i="7"/>
  <c r="L45" i="7"/>
  <c r="D46" i="7"/>
  <c r="E46" i="7"/>
  <c r="F46" i="7"/>
  <c r="G46" i="7"/>
  <c r="H46" i="7"/>
  <c r="I46" i="7"/>
  <c r="J46" i="7"/>
  <c r="K46" i="7"/>
  <c r="L46" i="7"/>
  <c r="C45" i="7"/>
  <c r="C46" i="7"/>
  <c r="C44" i="7"/>
  <c r="D36" i="7"/>
  <c r="E36" i="7"/>
  <c r="F36" i="7"/>
  <c r="G36" i="7"/>
  <c r="H36" i="7"/>
  <c r="I36" i="7"/>
  <c r="J36" i="7"/>
  <c r="K36" i="7"/>
  <c r="L36" i="7"/>
  <c r="D37" i="7"/>
  <c r="E37" i="7"/>
  <c r="F37" i="7"/>
  <c r="G37" i="7"/>
  <c r="H37" i="7"/>
  <c r="I37" i="7"/>
  <c r="J37" i="7"/>
  <c r="K37" i="7"/>
  <c r="L37" i="7"/>
  <c r="D38" i="7"/>
  <c r="E38" i="7"/>
  <c r="F38" i="7"/>
  <c r="G38" i="7"/>
  <c r="G13" i="9" s="1"/>
  <c r="H38" i="7"/>
  <c r="H13" i="9" s="1"/>
  <c r="I38" i="7"/>
  <c r="I13" i="9" s="1"/>
  <c r="J38" i="7"/>
  <c r="K38" i="7"/>
  <c r="K13" i="9" s="1"/>
  <c r="L38" i="7"/>
  <c r="C37" i="7"/>
  <c r="M37" i="7" s="1"/>
  <c r="C38" i="7"/>
  <c r="C36" i="7"/>
  <c r="B37" i="7"/>
  <c r="B38" i="7"/>
  <c r="B39" i="7"/>
  <c r="B44" i="7"/>
  <c r="B45" i="7"/>
  <c r="B46" i="7"/>
  <c r="B47" i="7"/>
  <c r="B49" i="7"/>
  <c r="B50" i="7"/>
  <c r="B51" i="7"/>
  <c r="B36" i="7"/>
  <c r="C19" i="9"/>
  <c r="C36" i="9" s="1"/>
  <c r="D29" i="7"/>
  <c r="E29" i="7"/>
  <c r="F29" i="7"/>
  <c r="G29" i="7"/>
  <c r="H29" i="7"/>
  <c r="I29" i="7"/>
  <c r="J29" i="7"/>
  <c r="K29" i="7"/>
  <c r="L29" i="7"/>
  <c r="C29" i="7"/>
  <c r="D24" i="7"/>
  <c r="E24" i="7"/>
  <c r="F24" i="7"/>
  <c r="G24" i="7"/>
  <c r="H24" i="7"/>
  <c r="I24" i="7"/>
  <c r="J24" i="7"/>
  <c r="K24" i="7"/>
  <c r="L24" i="7"/>
  <c r="C24" i="7"/>
  <c r="D19" i="7"/>
  <c r="E19" i="7"/>
  <c r="F19" i="7"/>
  <c r="G19" i="7"/>
  <c r="H19" i="7"/>
  <c r="I19" i="7"/>
  <c r="J19" i="7"/>
  <c r="C19" i="7"/>
  <c r="M19" i="7" s="1"/>
  <c r="D14" i="7"/>
  <c r="E14" i="7"/>
  <c r="F14" i="7"/>
  <c r="G14" i="7"/>
  <c r="H14" i="7"/>
  <c r="I14" i="7"/>
  <c r="J14" i="7"/>
  <c r="C14" i="7"/>
  <c r="D19" i="9"/>
  <c r="D36" i="9" s="1"/>
  <c r="E19" i="9"/>
  <c r="E36" i="9" s="1"/>
  <c r="F19" i="9"/>
  <c r="F36" i="9" s="1"/>
  <c r="H19" i="9"/>
  <c r="H36" i="9" s="1"/>
  <c r="I19" i="9"/>
  <c r="I36" i="9" s="1"/>
  <c r="J19" i="9"/>
  <c r="J36" i="9" s="1"/>
  <c r="D6" i="7"/>
  <c r="E6" i="7"/>
  <c r="F6" i="7"/>
  <c r="F20" i="9" s="1"/>
  <c r="G6" i="7"/>
  <c r="H6" i="7"/>
  <c r="I6" i="7"/>
  <c r="J6" i="7"/>
  <c r="C6" i="7"/>
  <c r="C20" i="9" s="1"/>
  <c r="B6" i="7"/>
  <c r="D3" i="7"/>
  <c r="E3" i="7"/>
  <c r="F3" i="7"/>
  <c r="G3" i="7"/>
  <c r="M46" i="7" s="1"/>
  <c r="H3" i="7"/>
  <c r="I3" i="7"/>
  <c r="J3" i="7"/>
  <c r="K3" i="7"/>
  <c r="L3" i="7"/>
  <c r="C3" i="7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C20" i="2" s="1"/>
  <c r="D17" i="2"/>
  <c r="E17" i="2"/>
  <c r="F17" i="2"/>
  <c r="G17" i="2"/>
  <c r="H17" i="2"/>
  <c r="I17" i="2"/>
  <c r="J17" i="2"/>
  <c r="K17" i="2"/>
  <c r="K20" i="2" s="1"/>
  <c r="C18" i="2"/>
  <c r="D18" i="2"/>
  <c r="E18" i="2"/>
  <c r="F18" i="2"/>
  <c r="F21" i="2" s="1"/>
  <c r="G18" i="2"/>
  <c r="H18" i="2"/>
  <c r="I18" i="2"/>
  <c r="J18" i="2"/>
  <c r="K18" i="2"/>
  <c r="B17" i="2"/>
  <c r="C4" i="2"/>
  <c r="D4" i="2"/>
  <c r="E24" i="2" s="1"/>
  <c r="E4" i="2"/>
  <c r="E5" i="2"/>
  <c r="E23" i="2" s="1"/>
  <c r="F4" i="2"/>
  <c r="G4" i="2"/>
  <c r="H4" i="2"/>
  <c r="I4" i="2"/>
  <c r="I5" i="2"/>
  <c r="J4" i="2"/>
  <c r="J5" i="2"/>
  <c r="J23" i="2" s="1"/>
  <c r="K4" i="2"/>
  <c r="K23" i="2" s="1"/>
  <c r="C5" i="2"/>
  <c r="D5" i="2"/>
  <c r="F5" i="2"/>
  <c r="G5" i="2"/>
  <c r="G23" i="2" s="1"/>
  <c r="H5" i="2"/>
  <c r="K5" i="2"/>
  <c r="C6" i="2"/>
  <c r="D6" i="2"/>
  <c r="E6" i="2"/>
  <c r="F6" i="2"/>
  <c r="G6" i="2"/>
  <c r="H6" i="2"/>
  <c r="I6" i="2"/>
  <c r="J6" i="2"/>
  <c r="K6" i="2"/>
  <c r="C7" i="2"/>
  <c r="C16" i="2" s="1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F16" i="2" s="1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E14" i="3" s="1"/>
  <c r="F4" i="3"/>
  <c r="G4" i="3"/>
  <c r="H4" i="3"/>
  <c r="I4" i="3"/>
  <c r="L4" i="1" s="1"/>
  <c r="J4" i="3"/>
  <c r="K4" i="3"/>
  <c r="K14" i="3" s="1"/>
  <c r="C5" i="3"/>
  <c r="D5" i="3"/>
  <c r="E5" i="3"/>
  <c r="F5" i="3"/>
  <c r="G5" i="3"/>
  <c r="H5" i="3"/>
  <c r="L5" i="1" s="1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L10" i="1" s="1"/>
  <c r="I10" i="3"/>
  <c r="J10" i="3"/>
  <c r="K10" i="3"/>
  <c r="C11" i="3"/>
  <c r="D11" i="3"/>
  <c r="E11" i="3"/>
  <c r="F11" i="3"/>
  <c r="G11" i="3"/>
  <c r="H11" i="3"/>
  <c r="I11" i="3"/>
  <c r="J11" i="3"/>
  <c r="L11" i="1" s="1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21" i="2" s="1"/>
  <c r="D4" i="1"/>
  <c r="E4" i="1"/>
  <c r="E6" i="1" s="1"/>
  <c r="E19" i="1" s="1"/>
  <c r="F4" i="1"/>
  <c r="F20" i="2" s="1"/>
  <c r="G4" i="1"/>
  <c r="H4" i="1"/>
  <c r="H21" i="2" s="1"/>
  <c r="I4" i="1"/>
  <c r="I21" i="2" s="1"/>
  <c r="J4" i="1"/>
  <c r="J6" i="1" s="1"/>
  <c r="J19" i="1" s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D23" i="2" s="1"/>
  <c r="E12" i="1"/>
  <c r="F12" i="1"/>
  <c r="F13" i="1" s="1"/>
  <c r="G12" i="1"/>
  <c r="G13" i="1" s="1"/>
  <c r="H12" i="1"/>
  <c r="I12" i="1"/>
  <c r="I23" i="2" s="1"/>
  <c r="J12" i="1"/>
  <c r="J13" i="1" s="1"/>
  <c r="J14" i="1" s="1"/>
  <c r="K12" i="1"/>
  <c r="K13" i="1" s="1"/>
  <c r="C15" i="1"/>
  <c r="C14" i="1" s="1"/>
  <c r="D15" i="1"/>
  <c r="E15" i="1"/>
  <c r="F15" i="1"/>
  <c r="G15" i="1"/>
  <c r="H15" i="1"/>
  <c r="I15" i="1"/>
  <c r="J15" i="1"/>
  <c r="K15" i="1"/>
  <c r="K14" i="1" s="1"/>
  <c r="B15" i="1"/>
  <c r="H13" i="1"/>
  <c r="I13" i="1"/>
  <c r="B7" i="1"/>
  <c r="B4" i="1"/>
  <c r="B20" i="2" s="1"/>
  <c r="A1" i="1"/>
  <c r="E1" i="6"/>
  <c r="H1" i="1" s="1"/>
  <c r="H16" i="2"/>
  <c r="D16" i="2"/>
  <c r="F23" i="2"/>
  <c r="C23" i="2"/>
  <c r="K16" i="2"/>
  <c r="H23" i="2"/>
  <c r="K6" i="1"/>
  <c r="K19" i="1" s="1"/>
  <c r="G6" i="1"/>
  <c r="G19" i="1" s="1"/>
  <c r="D6" i="1"/>
  <c r="D19" i="1" s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G21" i="2"/>
  <c r="E21" i="2"/>
  <c r="D21" i="2"/>
  <c r="B18" i="2"/>
  <c r="B21" i="2" s="1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G14" i="3"/>
  <c r="G20" i="2"/>
  <c r="D20" i="2"/>
  <c r="J20" i="2"/>
  <c r="E20" i="2"/>
  <c r="L12" i="1"/>
  <c r="L13" i="1" s="1"/>
  <c r="L14" i="1" s="1"/>
  <c r="L25" i="1" s="1"/>
  <c r="L6" i="1"/>
  <c r="A1" i="3"/>
  <c r="A1" i="2"/>
  <c r="A1" i="4"/>
  <c r="H23" i="1"/>
  <c r="I23" i="1"/>
  <c r="I10" i="12" l="1"/>
  <c r="I17" i="12" s="1"/>
  <c r="G17" i="12"/>
  <c r="I26" i="9"/>
  <c r="I27" i="9"/>
  <c r="I25" i="9"/>
  <c r="H10" i="12"/>
  <c r="H17" i="12" s="1"/>
  <c r="H21" i="9"/>
  <c r="H38" i="9" s="1"/>
  <c r="H40" i="9" s="1"/>
  <c r="P37" i="8"/>
  <c r="O37" i="8"/>
  <c r="F8" i="12"/>
  <c r="F10" i="12" s="1"/>
  <c r="F17" i="12" s="1"/>
  <c r="F21" i="9"/>
  <c r="F38" i="9" s="1"/>
  <c r="F40" i="9" s="1"/>
  <c r="Q36" i="8"/>
  <c r="F42" i="7"/>
  <c r="E21" i="9"/>
  <c r="E38" i="9" s="1"/>
  <c r="E40" i="9" s="1"/>
  <c r="P36" i="8"/>
  <c r="D21" i="9"/>
  <c r="D38" i="9" s="1"/>
  <c r="D40" i="9" s="1"/>
  <c r="O36" i="8"/>
  <c r="I40" i="9"/>
  <c r="C21" i="9"/>
  <c r="C38" i="9" s="1"/>
  <c r="C40" i="9" s="1"/>
  <c r="E42" i="7"/>
  <c r="O40" i="7"/>
  <c r="O42" i="7" s="1"/>
  <c r="L21" i="9"/>
  <c r="L38" i="9" s="1"/>
  <c r="J21" i="9"/>
  <c r="J38" i="9" s="1"/>
  <c r="L42" i="7"/>
  <c r="I21" i="9"/>
  <c r="I38" i="9" s="1"/>
  <c r="Q37" i="8"/>
  <c r="O17" i="12"/>
  <c r="O36" i="9"/>
  <c r="N36" i="9"/>
  <c r="Q36" i="9"/>
  <c r="K40" i="9"/>
  <c r="P36" i="9"/>
  <c r="N39" i="7"/>
  <c r="N42" i="7" s="1"/>
  <c r="Q39" i="7"/>
  <c r="Q42" i="7" s="1"/>
  <c r="P39" i="7"/>
  <c r="P42" i="7" s="1"/>
  <c r="F14" i="9"/>
  <c r="C13" i="9"/>
  <c r="F13" i="9"/>
  <c r="I20" i="9"/>
  <c r="M50" i="7"/>
  <c r="E13" i="9"/>
  <c r="H20" i="9"/>
  <c r="N3" i="7"/>
  <c r="M45" i="7"/>
  <c r="D13" i="9"/>
  <c r="G20" i="9"/>
  <c r="F7" i="7"/>
  <c r="M9" i="7"/>
  <c r="M21" i="9" s="1"/>
  <c r="M47" i="7"/>
  <c r="E20" i="9"/>
  <c r="L11" i="7"/>
  <c r="M14" i="7"/>
  <c r="M24" i="7"/>
  <c r="M39" i="7"/>
  <c r="M42" i="7" s="1"/>
  <c r="D20" i="9"/>
  <c r="K11" i="7"/>
  <c r="M6" i="7"/>
  <c r="M49" i="7"/>
  <c r="L13" i="9"/>
  <c r="M44" i="7"/>
  <c r="M51" i="7"/>
  <c r="M36" i="7"/>
  <c r="M13" i="9" s="1"/>
  <c r="J13" i="9"/>
  <c r="K7" i="7"/>
  <c r="M29" i="7"/>
  <c r="I69" i="7"/>
  <c r="J69" i="7"/>
  <c r="M82" i="7"/>
  <c r="I83" i="7"/>
  <c r="M92" i="7"/>
  <c r="F69" i="7"/>
  <c r="J83" i="7"/>
  <c r="L83" i="7"/>
  <c r="H93" i="7"/>
  <c r="D93" i="7"/>
  <c r="E69" i="7"/>
  <c r="D69" i="7"/>
  <c r="F93" i="7"/>
  <c r="L93" i="7"/>
  <c r="M86" i="7"/>
  <c r="M80" i="7"/>
  <c r="M74" i="7"/>
  <c r="G83" i="7"/>
  <c r="K69" i="7"/>
  <c r="E93" i="7"/>
  <c r="K93" i="7"/>
  <c r="H83" i="7"/>
  <c r="J93" i="7"/>
  <c r="M89" i="7"/>
  <c r="M81" i="7"/>
  <c r="M78" i="7"/>
  <c r="M75" i="7"/>
  <c r="N89" i="7"/>
  <c r="L69" i="7"/>
  <c r="G93" i="7"/>
  <c r="I93" i="7"/>
  <c r="E83" i="7"/>
  <c r="H69" i="7"/>
  <c r="M61" i="7"/>
  <c r="G69" i="7"/>
  <c r="M76" i="7"/>
  <c r="M73" i="7"/>
  <c r="K83" i="7"/>
  <c r="M77" i="7"/>
  <c r="M90" i="7"/>
  <c r="F83" i="7"/>
  <c r="M68" i="7"/>
  <c r="M59" i="7"/>
  <c r="M67" i="7"/>
  <c r="M79" i="7"/>
  <c r="M88" i="7"/>
  <c r="M91" i="7"/>
  <c r="M72" i="7"/>
  <c r="D83" i="7"/>
  <c r="M66" i="7"/>
  <c r="M87" i="7"/>
  <c r="N90" i="7"/>
  <c r="M65" i="7"/>
  <c r="C83" i="7"/>
  <c r="M64" i="7"/>
  <c r="C93" i="7"/>
  <c r="M63" i="7"/>
  <c r="N78" i="7"/>
  <c r="C69" i="7"/>
  <c r="M62" i="7"/>
  <c r="M60" i="7"/>
  <c r="J7" i="7"/>
  <c r="I52" i="7"/>
  <c r="I54" i="7" s="1"/>
  <c r="G52" i="7"/>
  <c r="G54" i="7" s="1"/>
  <c r="L52" i="7"/>
  <c r="K52" i="7"/>
  <c r="K54" i="7" s="1"/>
  <c r="K14" i="9" s="1"/>
  <c r="K48" i="7"/>
  <c r="L48" i="7"/>
  <c r="C48" i="7"/>
  <c r="D48" i="7"/>
  <c r="I48" i="7"/>
  <c r="F52" i="7"/>
  <c r="D11" i="7"/>
  <c r="D12" i="7" s="1"/>
  <c r="D5" i="9" s="1"/>
  <c r="J52" i="7"/>
  <c r="H52" i="7"/>
  <c r="J48" i="7"/>
  <c r="H11" i="7"/>
  <c r="H12" i="7" s="1"/>
  <c r="H5" i="9" s="1"/>
  <c r="H48" i="7"/>
  <c r="D52" i="7"/>
  <c r="G48" i="7"/>
  <c r="E52" i="7"/>
  <c r="C52" i="7"/>
  <c r="F48" i="7"/>
  <c r="F54" i="7" s="1"/>
  <c r="F18" i="9" s="1"/>
  <c r="E11" i="7"/>
  <c r="E16" i="7" s="1"/>
  <c r="E48" i="7"/>
  <c r="G11" i="7"/>
  <c r="G16" i="7" s="1"/>
  <c r="G21" i="7" s="1"/>
  <c r="G15" i="9" s="1"/>
  <c r="D7" i="7"/>
  <c r="G7" i="7"/>
  <c r="I7" i="7"/>
  <c r="H7" i="7"/>
  <c r="E7" i="7"/>
  <c r="I11" i="7"/>
  <c r="I12" i="7" s="1"/>
  <c r="I5" i="9" s="1"/>
  <c r="F11" i="7"/>
  <c r="F12" i="7" s="1"/>
  <c r="F5" i="9" s="1"/>
  <c r="C11" i="7"/>
  <c r="C16" i="7" s="1"/>
  <c r="J11" i="7"/>
  <c r="F14" i="1"/>
  <c r="G14" i="1"/>
  <c r="N11" i="1"/>
  <c r="M11" i="1"/>
  <c r="L7" i="1"/>
  <c r="D24" i="2"/>
  <c r="L19" i="1"/>
  <c r="L24" i="1" s="1"/>
  <c r="I14" i="3"/>
  <c r="E1" i="3"/>
  <c r="K24" i="2"/>
  <c r="E1" i="2"/>
  <c r="I14" i="1"/>
  <c r="K25" i="1" s="1"/>
  <c r="M25" i="1" s="1"/>
  <c r="M14" i="1" s="1"/>
  <c r="C24" i="2"/>
  <c r="H14" i="1"/>
  <c r="J16" i="2"/>
  <c r="D13" i="1"/>
  <c r="E13" i="1" s="1"/>
  <c r="J23" i="1"/>
  <c r="B23" i="2"/>
  <c r="C6" i="1"/>
  <c r="C19" i="1" s="1"/>
  <c r="L8" i="1"/>
  <c r="N8" i="1" s="1"/>
  <c r="J24" i="2"/>
  <c r="J21" i="2"/>
  <c r="I24" i="2"/>
  <c r="H24" i="1"/>
  <c r="L23" i="1"/>
  <c r="H24" i="2"/>
  <c r="G24" i="2"/>
  <c r="E14" i="1"/>
  <c r="L9" i="1"/>
  <c r="M9" i="1" s="1"/>
  <c r="E16" i="2"/>
  <c r="B14" i="1"/>
  <c r="D14" i="1"/>
  <c r="I6" i="1"/>
  <c r="I19" i="1" s="1"/>
  <c r="I24" i="1" s="1"/>
  <c r="F24" i="2"/>
  <c r="J25" i="1"/>
  <c r="H25" i="1"/>
  <c r="N25" i="1" s="1"/>
  <c r="N14" i="1" s="1"/>
  <c r="I25" i="1"/>
  <c r="I20" i="2"/>
  <c r="J24" i="1"/>
  <c r="H20" i="2"/>
  <c r="K23" i="1"/>
  <c r="M23" i="1" s="1"/>
  <c r="M4" i="1" s="1"/>
  <c r="H6" i="1"/>
  <c r="H19" i="1" s="1"/>
  <c r="F6" i="1"/>
  <c r="F19" i="1" s="1"/>
  <c r="E1" i="4"/>
  <c r="M38" i="9" l="1"/>
  <c r="P38" i="9"/>
  <c r="N38" i="9"/>
  <c r="O38" i="9"/>
  <c r="J40" i="9"/>
  <c r="J27" i="9"/>
  <c r="Q27" i="9" s="1"/>
  <c r="J25" i="9"/>
  <c r="M25" i="9" s="1"/>
  <c r="J26" i="9"/>
  <c r="L40" i="9"/>
  <c r="K27" i="9"/>
  <c r="N27" i="9" s="1"/>
  <c r="K25" i="9"/>
  <c r="K26" i="9"/>
  <c r="Q26" i="9" s="1"/>
  <c r="F20" i="12"/>
  <c r="L26" i="9"/>
  <c r="L27" i="9"/>
  <c r="L25" i="9"/>
  <c r="Q38" i="9"/>
  <c r="K95" i="7"/>
  <c r="O25" i="9"/>
  <c r="P25" i="9"/>
  <c r="Q25" i="9"/>
  <c r="J95" i="7"/>
  <c r="P40" i="9"/>
  <c r="N11" i="7"/>
  <c r="N12" i="7" s="1"/>
  <c r="N5" i="9" s="1"/>
  <c r="G18" i="9"/>
  <c r="G14" i="9"/>
  <c r="I18" i="9"/>
  <c r="I14" i="9"/>
  <c r="N48" i="7"/>
  <c r="N6" i="7"/>
  <c r="N38" i="7"/>
  <c r="N46" i="7"/>
  <c r="N36" i="7"/>
  <c r="N51" i="7"/>
  <c r="N44" i="7"/>
  <c r="N24" i="7"/>
  <c r="N14" i="7"/>
  <c r="N29" i="7"/>
  <c r="N49" i="7"/>
  <c r="O3" i="7"/>
  <c r="N47" i="7"/>
  <c r="N37" i="7"/>
  <c r="N52" i="7"/>
  <c r="N9" i="7"/>
  <c r="N45" i="7"/>
  <c r="N19" i="7"/>
  <c r="N50" i="7"/>
  <c r="N61" i="7"/>
  <c r="I95" i="7"/>
  <c r="L16" i="7"/>
  <c r="L12" i="7"/>
  <c r="L5" i="9" s="1"/>
  <c r="G95" i="7"/>
  <c r="N88" i="7"/>
  <c r="M52" i="7"/>
  <c r="N82" i="7"/>
  <c r="N79" i="7"/>
  <c r="M19" i="9"/>
  <c r="N72" i="7"/>
  <c r="N80" i="7"/>
  <c r="D54" i="7"/>
  <c r="N64" i="7"/>
  <c r="N59" i="7"/>
  <c r="N67" i="7"/>
  <c r="N81" i="7"/>
  <c r="M20" i="9"/>
  <c r="M7" i="7"/>
  <c r="N87" i="7"/>
  <c r="M48" i="7"/>
  <c r="N92" i="7"/>
  <c r="N62" i="7"/>
  <c r="N86" i="7"/>
  <c r="N60" i="7"/>
  <c r="K16" i="7"/>
  <c r="K17" i="7" s="1"/>
  <c r="K6" i="9" s="1"/>
  <c r="K12" i="7"/>
  <c r="K5" i="9" s="1"/>
  <c r="M11" i="7"/>
  <c r="M12" i="7" s="1"/>
  <c r="M5" i="9" s="1"/>
  <c r="N76" i="7"/>
  <c r="N73" i="7"/>
  <c r="N65" i="7"/>
  <c r="N63" i="7"/>
  <c r="K18" i="9"/>
  <c r="N74" i="7"/>
  <c r="N91" i="7"/>
  <c r="N75" i="7"/>
  <c r="N68" i="7"/>
  <c r="N77" i="7"/>
  <c r="N66" i="7"/>
  <c r="L95" i="7"/>
  <c r="H95" i="7"/>
  <c r="F95" i="7"/>
  <c r="D95" i="7"/>
  <c r="E95" i="7"/>
  <c r="N93" i="7"/>
  <c r="O93" i="7"/>
  <c r="M93" i="7"/>
  <c r="M69" i="7"/>
  <c r="N69" i="7"/>
  <c r="O69" i="7"/>
  <c r="C95" i="7"/>
  <c r="M83" i="7"/>
  <c r="N83" i="7"/>
  <c r="O83" i="7"/>
  <c r="J54" i="7"/>
  <c r="C54" i="7"/>
  <c r="N54" i="7" s="1"/>
  <c r="E54" i="7"/>
  <c r="L54" i="7"/>
  <c r="D16" i="7"/>
  <c r="D17" i="7" s="1"/>
  <c r="D6" i="9" s="1"/>
  <c r="G12" i="7"/>
  <c r="G5" i="9" s="1"/>
  <c r="H54" i="7"/>
  <c r="H16" i="7"/>
  <c r="H17" i="7" s="1"/>
  <c r="H6" i="9" s="1"/>
  <c r="E12" i="7"/>
  <c r="E5" i="9" s="1"/>
  <c r="G17" i="7"/>
  <c r="G6" i="9" s="1"/>
  <c r="I16" i="7"/>
  <c r="I21" i="7" s="1"/>
  <c r="I15" i="9" s="1"/>
  <c r="F16" i="7"/>
  <c r="F21" i="7" s="1"/>
  <c r="F15" i="9" s="1"/>
  <c r="C12" i="7"/>
  <c r="C5" i="9" s="1"/>
  <c r="C21" i="7"/>
  <c r="C15" i="9" s="1"/>
  <c r="C17" i="7"/>
  <c r="C6" i="9" s="1"/>
  <c r="E21" i="7"/>
  <c r="E15" i="9" s="1"/>
  <c r="E17" i="7"/>
  <c r="E6" i="9" s="1"/>
  <c r="J12" i="7"/>
  <c r="J5" i="9" s="1"/>
  <c r="J16" i="7"/>
  <c r="G26" i="7"/>
  <c r="G22" i="7"/>
  <c r="G7" i="9" s="1"/>
  <c r="N23" i="1"/>
  <c r="N4" i="1" s="1"/>
  <c r="M8" i="1"/>
  <c r="K24" i="1"/>
  <c r="M24" i="1" s="1"/>
  <c r="M6" i="1" s="1"/>
  <c r="M10" i="1" s="1"/>
  <c r="M12" i="1" s="1"/>
  <c r="M13" i="1" s="1"/>
  <c r="M15" i="1" s="1"/>
  <c r="N9" i="1"/>
  <c r="F21" i="12" l="1"/>
  <c r="F24" i="12" s="1"/>
  <c r="M26" i="9"/>
  <c r="P26" i="9"/>
  <c r="N25" i="9"/>
  <c r="O26" i="9"/>
  <c r="P27" i="9"/>
  <c r="N26" i="9"/>
  <c r="O27" i="9"/>
  <c r="N40" i="9"/>
  <c r="Q40" i="9"/>
  <c r="M27" i="9"/>
  <c r="M40" i="9"/>
  <c r="O40" i="9"/>
  <c r="N19" i="9"/>
  <c r="N21" i="9"/>
  <c r="N20" i="9"/>
  <c r="N18" i="9"/>
  <c r="N7" i="7"/>
  <c r="N14" i="9"/>
  <c r="N13" i="9"/>
  <c r="H18" i="9"/>
  <c r="H14" i="9"/>
  <c r="N16" i="7"/>
  <c r="N17" i="7" s="1"/>
  <c r="N6" i="9" s="1"/>
  <c r="L14" i="9"/>
  <c r="L18" i="9"/>
  <c r="E18" i="9"/>
  <c r="E14" i="9"/>
  <c r="O38" i="7"/>
  <c r="O54" i="7"/>
  <c r="O46" i="7"/>
  <c r="O24" i="7"/>
  <c r="O14" i="7"/>
  <c r="O36" i="7"/>
  <c r="O51" i="7"/>
  <c r="O44" i="7"/>
  <c r="O49" i="7"/>
  <c r="P3" i="7"/>
  <c r="P95" i="7" s="1"/>
  <c r="O48" i="7"/>
  <c r="O6" i="7"/>
  <c r="O47" i="7"/>
  <c r="O19" i="7"/>
  <c r="O37" i="7"/>
  <c r="O52" i="7"/>
  <c r="O9" i="7"/>
  <c r="O21" i="9" s="1"/>
  <c r="O45" i="7"/>
  <c r="O29" i="7"/>
  <c r="O50" i="7"/>
  <c r="O66" i="7"/>
  <c r="O64" i="7"/>
  <c r="O89" i="7"/>
  <c r="O76" i="7"/>
  <c r="O65" i="7"/>
  <c r="O61" i="7"/>
  <c r="O78" i="7"/>
  <c r="O73" i="7"/>
  <c r="O91" i="7"/>
  <c r="O74" i="7"/>
  <c r="O77" i="7"/>
  <c r="O62" i="7"/>
  <c r="O92" i="7"/>
  <c r="O79" i="7"/>
  <c r="O80" i="7"/>
  <c r="O60" i="7"/>
  <c r="O59" i="7"/>
  <c r="O11" i="7"/>
  <c r="O12" i="7" s="1"/>
  <c r="O5" i="9" s="1"/>
  <c r="O67" i="7"/>
  <c r="O87" i="7"/>
  <c r="O81" i="7"/>
  <c r="O86" i="7"/>
  <c r="O88" i="7"/>
  <c r="O82" i="7"/>
  <c r="O75" i="7"/>
  <c r="O90" i="7"/>
  <c r="O16" i="7"/>
  <c r="O63" i="7"/>
  <c r="O68" i="7"/>
  <c r="O72" i="7"/>
  <c r="M16" i="7"/>
  <c r="M17" i="7" s="1"/>
  <c r="M6" i="9" s="1"/>
  <c r="D14" i="9"/>
  <c r="D18" i="9"/>
  <c r="L17" i="7"/>
  <c r="L6" i="9" s="1"/>
  <c r="L21" i="7"/>
  <c r="C18" i="9"/>
  <c r="M54" i="7"/>
  <c r="C14" i="9"/>
  <c r="J14" i="9"/>
  <c r="J18" i="9"/>
  <c r="K21" i="7"/>
  <c r="K15" i="9" s="1"/>
  <c r="M95" i="7"/>
  <c r="N95" i="7"/>
  <c r="O95" i="7"/>
  <c r="D21" i="7"/>
  <c r="D22" i="7" s="1"/>
  <c r="D7" i="9" s="1"/>
  <c r="H21" i="7"/>
  <c r="H15" i="9" s="1"/>
  <c r="I17" i="7"/>
  <c r="I6" i="9" s="1"/>
  <c r="F17" i="7"/>
  <c r="F6" i="9" s="1"/>
  <c r="G31" i="7"/>
  <c r="G27" i="7"/>
  <c r="J17" i="7"/>
  <c r="J6" i="9" s="1"/>
  <c r="J21" i="7"/>
  <c r="J15" i="9" s="1"/>
  <c r="K26" i="7"/>
  <c r="K22" i="7"/>
  <c r="K7" i="9" s="1"/>
  <c r="F26" i="7"/>
  <c r="F22" i="7"/>
  <c r="F7" i="9" s="1"/>
  <c r="I22" i="7"/>
  <c r="I7" i="9" s="1"/>
  <c r="I26" i="7"/>
  <c r="E22" i="7"/>
  <c r="E7" i="9" s="1"/>
  <c r="E26" i="7"/>
  <c r="C26" i="7"/>
  <c r="C22" i="7"/>
  <c r="C7" i="9" s="1"/>
  <c r="N24" i="1"/>
  <c r="N6" i="1" s="1"/>
  <c r="M5" i="1"/>
  <c r="H22" i="7" l="1"/>
  <c r="H7" i="9" s="1"/>
  <c r="D26" i="7"/>
  <c r="M14" i="9"/>
  <c r="M18" i="9"/>
  <c r="L15" i="9"/>
  <c r="L26" i="7"/>
  <c r="L22" i="7"/>
  <c r="L7" i="9" s="1"/>
  <c r="O19" i="9"/>
  <c r="O20" i="9"/>
  <c r="O18" i="9"/>
  <c r="O7" i="7"/>
  <c r="O14" i="9"/>
  <c r="O13" i="9"/>
  <c r="D15" i="9"/>
  <c r="O21" i="7"/>
  <c r="N21" i="7"/>
  <c r="M21" i="7"/>
  <c r="O17" i="7"/>
  <c r="O6" i="9" s="1"/>
  <c r="P50" i="7"/>
  <c r="P48" i="7"/>
  <c r="P24" i="7"/>
  <c r="P14" i="7"/>
  <c r="P6" i="7"/>
  <c r="P38" i="7"/>
  <c r="P54" i="7"/>
  <c r="P16" i="7"/>
  <c r="P46" i="7"/>
  <c r="P36" i="7"/>
  <c r="P51" i="7"/>
  <c r="P45" i="7"/>
  <c r="P44" i="7"/>
  <c r="P49" i="7"/>
  <c r="P19" i="7"/>
  <c r="P11" i="7"/>
  <c r="Q3" i="7"/>
  <c r="P47" i="7"/>
  <c r="P29" i="7"/>
  <c r="P37" i="7"/>
  <c r="P52" i="7"/>
  <c r="P9" i="7"/>
  <c r="P75" i="7"/>
  <c r="P77" i="7"/>
  <c r="P59" i="7"/>
  <c r="P76" i="7"/>
  <c r="P91" i="7"/>
  <c r="P64" i="7"/>
  <c r="P78" i="7"/>
  <c r="P73" i="7"/>
  <c r="P88" i="7"/>
  <c r="P92" i="7"/>
  <c r="P65" i="7"/>
  <c r="P74" i="7"/>
  <c r="P62" i="7"/>
  <c r="P81" i="7"/>
  <c r="P67" i="7"/>
  <c r="P89" i="7"/>
  <c r="P82" i="7"/>
  <c r="P86" i="7"/>
  <c r="P61" i="7"/>
  <c r="P60" i="7"/>
  <c r="P87" i="7"/>
  <c r="P79" i="7"/>
  <c r="P90" i="7"/>
  <c r="P66" i="7"/>
  <c r="P63" i="7"/>
  <c r="P68" i="7"/>
  <c r="P80" i="7"/>
  <c r="P72" i="7"/>
  <c r="P93" i="7"/>
  <c r="P83" i="7"/>
  <c r="P69" i="7"/>
  <c r="P21" i="7"/>
  <c r="G32" i="7"/>
  <c r="G8" i="9" s="1"/>
  <c r="G10" i="9"/>
  <c r="G9" i="9"/>
  <c r="H26" i="7"/>
  <c r="H27" i="7" s="1"/>
  <c r="K31" i="7"/>
  <c r="K27" i="7"/>
  <c r="D31" i="7"/>
  <c r="J30" i="9" s="1"/>
  <c r="J31" i="9" s="1"/>
  <c r="D27" i="7"/>
  <c r="E31" i="7"/>
  <c r="K30" i="9" s="1"/>
  <c r="K31" i="9" s="1"/>
  <c r="E27" i="7"/>
  <c r="I31" i="7"/>
  <c r="I27" i="7"/>
  <c r="F31" i="7"/>
  <c r="L30" i="9" s="1"/>
  <c r="L31" i="9" s="1"/>
  <c r="F27" i="7"/>
  <c r="C31" i="7"/>
  <c r="I30" i="9" s="1"/>
  <c r="C27" i="7"/>
  <c r="J22" i="7"/>
  <c r="J7" i="9" s="1"/>
  <c r="J26" i="7"/>
  <c r="N10" i="1"/>
  <c r="N12" i="1" s="1"/>
  <c r="N13" i="1" s="1"/>
  <c r="N15" i="1" s="1"/>
  <c r="N5" i="1"/>
  <c r="I31" i="9" l="1"/>
  <c r="N30" i="9"/>
  <c r="O30" i="9"/>
  <c r="Q30" i="9"/>
  <c r="P30" i="9"/>
  <c r="M30" i="9"/>
  <c r="P19" i="9"/>
  <c r="P21" i="9"/>
  <c r="L31" i="7"/>
  <c r="L27" i="7"/>
  <c r="P18" i="9"/>
  <c r="P20" i="9"/>
  <c r="P7" i="7"/>
  <c r="M22" i="7"/>
  <c r="M7" i="9" s="1"/>
  <c r="M15" i="9"/>
  <c r="F32" i="7"/>
  <c r="F8" i="9" s="1"/>
  <c r="F10" i="9"/>
  <c r="F9" i="9"/>
  <c r="P12" i="7"/>
  <c r="P5" i="9" s="1"/>
  <c r="I32" i="7"/>
  <c r="I8" i="9" s="1"/>
  <c r="I10" i="9"/>
  <c r="I9" i="9"/>
  <c r="O26" i="7"/>
  <c r="O27" i="7" s="1"/>
  <c r="N26" i="7"/>
  <c r="N27" i="7" s="1"/>
  <c r="D32" i="7"/>
  <c r="D8" i="9" s="1"/>
  <c r="D9" i="9"/>
  <c r="D10" i="9"/>
  <c r="H31" i="7"/>
  <c r="N22" i="7"/>
  <c r="N7" i="9" s="1"/>
  <c r="N15" i="9"/>
  <c r="P17" i="7"/>
  <c r="P6" i="9" s="1"/>
  <c r="O22" i="7"/>
  <c r="O7" i="9" s="1"/>
  <c r="O15" i="9"/>
  <c r="E32" i="7"/>
  <c r="E8" i="9" s="1"/>
  <c r="E10" i="9"/>
  <c r="E9" i="9"/>
  <c r="P26" i="7"/>
  <c r="P27" i="7" s="1"/>
  <c r="C32" i="7"/>
  <c r="C8" i="9" s="1"/>
  <c r="C10" i="9"/>
  <c r="C9" i="9"/>
  <c r="K32" i="7"/>
  <c r="K8" i="9" s="1"/>
  <c r="K10" i="9"/>
  <c r="K9" i="9"/>
  <c r="P22" i="7"/>
  <c r="P7" i="9" s="1"/>
  <c r="P15" i="9"/>
  <c r="Q45" i="7"/>
  <c r="Q48" i="7"/>
  <c r="Q6" i="7"/>
  <c r="Q38" i="7"/>
  <c r="Q54" i="7"/>
  <c r="Q46" i="7"/>
  <c r="Q36" i="7"/>
  <c r="Q51" i="7"/>
  <c r="Q19" i="7"/>
  <c r="Q52" i="7"/>
  <c r="Q44" i="7"/>
  <c r="Q37" i="7"/>
  <c r="Q24" i="7"/>
  <c r="Q49" i="7"/>
  <c r="Q29" i="7"/>
  <c r="Q50" i="7"/>
  <c r="Q14" i="7"/>
  <c r="Q47" i="7"/>
  <c r="Q9" i="7"/>
  <c r="Q21" i="9" s="1"/>
  <c r="Q59" i="7"/>
  <c r="Q80" i="7"/>
  <c r="Q75" i="7"/>
  <c r="Q72" i="7"/>
  <c r="Q76" i="7"/>
  <c r="Q77" i="7"/>
  <c r="Q11" i="7"/>
  <c r="Q68" i="7"/>
  <c r="Q66" i="7"/>
  <c r="Q90" i="7"/>
  <c r="Q74" i="7"/>
  <c r="Q63" i="7"/>
  <c r="Q67" i="7"/>
  <c r="Q92" i="7"/>
  <c r="Q61" i="7"/>
  <c r="Q89" i="7"/>
  <c r="Q78" i="7"/>
  <c r="Q81" i="7"/>
  <c r="Q73" i="7"/>
  <c r="Q64" i="7"/>
  <c r="Q86" i="7"/>
  <c r="Q79" i="7"/>
  <c r="Q88" i="7"/>
  <c r="Q87" i="7"/>
  <c r="Q60" i="7"/>
  <c r="Q91" i="7"/>
  <c r="Q65" i="7"/>
  <c r="Q82" i="7"/>
  <c r="Q16" i="7"/>
  <c r="Q62" i="7"/>
  <c r="Q21" i="7"/>
  <c r="Q93" i="7"/>
  <c r="Q83" i="7"/>
  <c r="Q69" i="7"/>
  <c r="Q26" i="7"/>
  <c r="Q27" i="7" s="1"/>
  <c r="Q95" i="7"/>
  <c r="P14" i="9"/>
  <c r="P13" i="9"/>
  <c r="M26" i="7"/>
  <c r="M27" i="7" s="1"/>
  <c r="J31" i="7"/>
  <c r="J27" i="7"/>
  <c r="P31" i="9" l="1"/>
  <c r="O31" i="9"/>
  <c r="N31" i="9"/>
  <c r="M31" i="9"/>
  <c r="Q31" i="9"/>
  <c r="H32" i="7"/>
  <c r="H8" i="9" s="1"/>
  <c r="H10" i="9"/>
  <c r="H9" i="9"/>
  <c r="N31" i="7"/>
  <c r="Q14" i="9"/>
  <c r="Q13" i="9"/>
  <c r="Q12" i="7"/>
  <c r="Q5" i="9" s="1"/>
  <c r="Q18" i="9"/>
  <c r="Q20" i="9"/>
  <c r="Q7" i="7"/>
  <c r="L9" i="9"/>
  <c r="L10" i="9"/>
  <c r="L32" i="7"/>
  <c r="L8" i="9" s="1"/>
  <c r="J32" i="7"/>
  <c r="J8" i="9" s="1"/>
  <c r="J9" i="9"/>
  <c r="J10" i="9"/>
  <c r="P31" i="7"/>
  <c r="O31" i="7"/>
  <c r="M31" i="7"/>
  <c r="Q22" i="7"/>
  <c r="Q7" i="9" s="1"/>
  <c r="Q15" i="9"/>
  <c r="Q17" i="7"/>
  <c r="Q6" i="9" s="1"/>
  <c r="Q19" i="9"/>
  <c r="Q31" i="7"/>
  <c r="P32" i="7" l="1"/>
  <c r="P8" i="9" s="1"/>
  <c r="P9" i="9"/>
  <c r="P10" i="9"/>
  <c r="O32" i="7"/>
  <c r="O8" i="9" s="1"/>
  <c r="O9" i="9"/>
  <c r="O10" i="9"/>
  <c r="Q32" i="7"/>
  <c r="Q8" i="9" s="1"/>
  <c r="Q10" i="9"/>
  <c r="Q9" i="9"/>
  <c r="N32" i="7"/>
  <c r="N8" i="9" s="1"/>
  <c r="N10" i="9"/>
  <c r="N9" i="9"/>
  <c r="M32" i="7"/>
  <c r="M8" i="9" s="1"/>
  <c r="M10" i="9"/>
  <c r="M9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<sst xmlns="http://schemas.openxmlformats.org/spreadsheetml/2006/main" count="373" uniqueCount="252">
  <si>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</si>
  <si>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</si>
  <si>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</si>
  <si>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</si>
  <si>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</si>
  <si>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</si>
  <si>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</si>
  <si>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</si>
  <si>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</si>
  <si>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</si>
  <si>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</si>
  <si>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</si>
  <si>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</si>
  <si>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</si>
  <si>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</si>
  <si>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</si>
  <si>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</si>
  <si>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</si>
  <si>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</si>
  <si>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</si>
  <si>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</si>
  <si>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</si>
  <si>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</si>
  <si>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</si>
  <si>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</si>
  <si>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</si>
  <si>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</si>
  <si>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</si>
  <si>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</si>
  <si>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</si>
  <si>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</si>
  <si>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</si>
  <si>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</si>
  <si>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</si>
  <si>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</si>
  <si>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</si>
  <si>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</si>
  <si>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</si>
  <si>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</si>
  <si>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</si>
  <si>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</si>
  <si>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</si>
  <si>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</si>
  <si>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</si>
  <si>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</si>
  <si>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</si>
  <si>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</si>
  <si>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</si>
  <si>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</si>
  <si>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</si>
  <si>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</si>
  <si>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</si>
  <si>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</si>
  <si>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</si>
  <si>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</si>
  <si>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</si>
  <si>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</si>
  <si>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</si>
  <si>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</si>
  <si>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</si>
  <si>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</si>
  <si>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</si>
  <si>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</si>
  <si>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HINDUSTAN UNILEVER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</si>
  <si>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</si>
  <si>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</si>
  <si>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</si>
  <si>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</si>
  <si>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</si>
  <si>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</si>
  <si>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</si>
  <si>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</si>
  <si>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</si>
  <si>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</si>
  <si>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</si>
  <si>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</si>
  <si>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</si>
  <si>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</si>
  <si>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</si>
  <si>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</si>
  <si>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</si>
  <si>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</si>
  <si>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</si>
  <si>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</si>
  <si>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</si>
  <si>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</si>
  <si>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</si>
  <si>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</si>
  <si>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</si>
  <si>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</si>
  <si>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</si>
  <si>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</si>
  <si>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</si>
  <si>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Year</t>
  </si>
  <si>
    <t>Income Statement</t>
  </si>
  <si>
    <t>#</t>
  </si>
  <si>
    <t>-</t>
  </si>
  <si>
    <t>COGS</t>
  </si>
  <si>
    <t>Gross Profit</t>
  </si>
  <si>
    <t>Gross Profit Margins</t>
  </si>
  <si>
    <t>Selling and General expenses</t>
  </si>
  <si>
    <t>EBITDA</t>
  </si>
  <si>
    <t>EBITDA Margins</t>
  </si>
  <si>
    <t>D&amp;A</t>
  </si>
  <si>
    <t>EBIT</t>
  </si>
  <si>
    <t>EBIT Margins</t>
  </si>
  <si>
    <t>EBT</t>
  </si>
  <si>
    <t>Net Profit</t>
  </si>
  <si>
    <t>Net Profit Margins</t>
  </si>
  <si>
    <t>EBT  Margins</t>
  </si>
  <si>
    <t>Balance Sheet</t>
  </si>
  <si>
    <t>Total Liabilities</t>
  </si>
  <si>
    <t>Total Non Current Assets</t>
  </si>
  <si>
    <t>Total Current Assets</t>
  </si>
  <si>
    <t>Total Assets</t>
  </si>
  <si>
    <t>Cash Flow Statement</t>
  </si>
  <si>
    <r>
      <t>Cash from Operating Activity </t>
    </r>
    <r>
      <rPr>
        <sz val="11"/>
        <color rgb="FF665EFD"/>
        <rFont val="Arial"/>
        <family val="2"/>
      </rPr>
      <t>-</t>
    </r>
  </si>
  <si>
    <t>Profit from operations</t>
  </si>
  <si>
    <t>Payables</t>
  </si>
  <si>
    <t>Loans Advances</t>
  </si>
  <si>
    <t>Other WC items</t>
  </si>
  <si>
    <t>Working capital changes</t>
  </si>
  <si>
    <t>Direct taxes</t>
  </si>
  <si>
    <t>Other operating items</t>
  </si>
  <si>
    <t>Exceptional CF items</t>
  </si>
  <si>
    <r>
      <t>Cash from Investing Activity </t>
    </r>
    <r>
      <rPr>
        <sz val="11"/>
        <color rgb="FF665EFD"/>
        <rFont val="Arial"/>
        <family val="2"/>
      </rPr>
      <t>-</t>
    </r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</si>
  <si>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</si>
  <si>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</si>
  <si>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</si>
  <si>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</si>
  <si>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</si>
  <si>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</si>
  <si>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</si>
  <si>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Loans to subsidiaries</t>
  </si>
  <si>
    <t>Redemp n Canc of Shares</t>
  </si>
  <si>
    <t>Acquisition of companies</t>
  </si>
  <si>
    <t>Other investing items</t>
  </si>
  <si>
    <r>
      <t>Cash from Financing Activity </t>
    </r>
    <r>
      <rPr>
        <sz val="11"/>
        <color rgb="FF665EFD"/>
        <rFont val="Arial"/>
        <family val="2"/>
      </rPr>
      <t>-</t>
    </r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</si>
  <si>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</si>
  <si>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</si>
  <si>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</si>
  <si>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</si>
  <si>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</si>
  <si>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</si>
  <si>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</si>
  <si>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from Operating Activity -</t>
  </si>
  <si>
    <t>Cash Flow From Operating Activities</t>
  </si>
  <si>
    <t>Cash from Investing Activity -</t>
  </si>
  <si>
    <t>Cash Flow From Investing Activities</t>
  </si>
  <si>
    <t>Cash from Financing Activity -</t>
  </si>
  <si>
    <t>Cash Flow From Financing Activities</t>
  </si>
  <si>
    <t>Profitability Ratios</t>
  </si>
  <si>
    <t>Gross Profit Margin</t>
  </si>
  <si>
    <t>Return on Assets</t>
  </si>
  <si>
    <t>Solvency ratios</t>
  </si>
  <si>
    <t>Debt/Equity</t>
  </si>
  <si>
    <t>Debt Ratio</t>
  </si>
  <si>
    <t>Interest Coverage</t>
  </si>
  <si>
    <t>Efficiency Ratios</t>
  </si>
  <si>
    <t xml:space="preserve">Asset Turnover </t>
  </si>
  <si>
    <t xml:space="preserve">Inventory Turnover </t>
  </si>
  <si>
    <t>Recievables Turnover</t>
  </si>
  <si>
    <t>Payable Turnover</t>
  </si>
  <si>
    <t>Fixed Asset Turnover</t>
  </si>
  <si>
    <t>Liquidity Ratios</t>
  </si>
  <si>
    <t>Current Ratio</t>
  </si>
  <si>
    <t>Quick Ratio</t>
  </si>
  <si>
    <t>Cash Ratio</t>
  </si>
  <si>
    <t>Market Ratios</t>
  </si>
  <si>
    <t>Earning per Share</t>
  </si>
  <si>
    <t>P/E ratio</t>
  </si>
  <si>
    <t>Book value per share</t>
  </si>
  <si>
    <t>Operating Cycle Ratios</t>
  </si>
  <si>
    <t>(in days)</t>
  </si>
  <si>
    <t>Invertory Days</t>
  </si>
  <si>
    <t>Recievable Days</t>
  </si>
  <si>
    <t>Payable Days</t>
  </si>
  <si>
    <t>Cash Conversion Cycle</t>
  </si>
  <si>
    <t>Breakdown</t>
  </si>
  <si>
    <t>3/31/2025</t>
  </si>
  <si>
    <t>3/31/2024</t>
  </si>
  <si>
    <t>3/31/2023</t>
  </si>
  <si>
    <t>3/31/2022</t>
  </si>
  <si>
    <t>Current Assets</t>
  </si>
  <si>
    <t>Total non-current assets</t>
  </si>
  <si>
    <t>Total Liabilities Net Minority Interest</t>
  </si>
  <si>
    <t>Current Liabilities</t>
  </si>
  <si>
    <t>Total Non Current Liabilities Net Minority Interest</t>
  </si>
  <si>
    <t>Total Equity Gross Minority Interest</t>
  </si>
  <si>
    <t>Stockholders' Equity</t>
  </si>
  <si>
    <t>Total Capitalization</t>
  </si>
  <si>
    <t>Common Stock Equity</t>
  </si>
  <si>
    <t>Share Issued</t>
  </si>
  <si>
    <t>Ordinary Shares Number</t>
  </si>
  <si>
    <t>sort</t>
  </si>
  <si>
    <t>current assets</t>
  </si>
  <si>
    <t>current liabilities</t>
  </si>
  <si>
    <t>non current liabilities</t>
  </si>
  <si>
    <t>Trade Payables</t>
  </si>
  <si>
    <t>Efficient working capital management</t>
  </si>
  <si>
    <t>equity(E)</t>
  </si>
  <si>
    <t>debt(D)</t>
  </si>
  <si>
    <t>Rf</t>
  </si>
  <si>
    <t>Rm</t>
  </si>
  <si>
    <t>Beta</t>
  </si>
  <si>
    <t>Tax Rate</t>
  </si>
  <si>
    <t>Kd</t>
  </si>
  <si>
    <t>Cost of equity</t>
  </si>
  <si>
    <t>ew</t>
  </si>
  <si>
    <t>dw</t>
  </si>
  <si>
    <t>WACC</t>
  </si>
  <si>
    <t>ERP</t>
  </si>
  <si>
    <t>CapEx</t>
  </si>
  <si>
    <t>Non- Cash WC</t>
  </si>
  <si>
    <t>FCF</t>
  </si>
  <si>
    <t>Growth Rate</t>
  </si>
  <si>
    <t>Terminal Value</t>
  </si>
  <si>
    <t>PV of FCF</t>
  </si>
  <si>
    <t>PV of Terminal Value</t>
  </si>
  <si>
    <t>Enterprise Value</t>
  </si>
  <si>
    <t>Discount Factor</t>
  </si>
  <si>
    <t>Equity Value</t>
  </si>
  <si>
    <t>No. of Shares</t>
  </si>
  <si>
    <t>Share Price</t>
  </si>
  <si>
    <t>Market Data</t>
  </si>
  <si>
    <t>Financials</t>
  </si>
  <si>
    <t>Valuation</t>
  </si>
  <si>
    <t>Name</t>
  </si>
  <si>
    <t>Shares Outstanding</t>
  </si>
  <si>
    <t>Market Cap</t>
  </si>
  <si>
    <t>Net Debt</t>
  </si>
  <si>
    <t>Revenue</t>
  </si>
  <si>
    <t>Net income</t>
  </si>
  <si>
    <t>EV/Revenue</t>
  </si>
  <si>
    <t>EV/EBITDA</t>
  </si>
  <si>
    <t>P/E</t>
  </si>
  <si>
    <t>High</t>
  </si>
  <si>
    <t>Third quartile</t>
  </si>
  <si>
    <t>Median</t>
  </si>
  <si>
    <t>Average</t>
  </si>
  <si>
    <t>First Quartile</t>
  </si>
  <si>
    <t>Low</t>
  </si>
  <si>
    <t>Implied Enterpise Value</t>
  </si>
  <si>
    <t xml:space="preserve">Implied Market Value </t>
  </si>
  <si>
    <t>Implied Value per Share</t>
  </si>
  <si>
    <t>ITC</t>
  </si>
  <si>
    <t>Hindustan Foods</t>
  </si>
  <si>
    <t>Godavari Bioref.</t>
  </si>
  <si>
    <t>Hind. Unilever Ltd.</t>
  </si>
  <si>
    <t>YoY Growth</t>
  </si>
  <si>
    <t>Why did the revenue growth decline during 2023-24</t>
  </si>
  <si>
    <t>Sensitivty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</si>
</sst>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#,##0.0;\(#,##0.0\)\,0"/>
    <numFmt numFmtId="167" formatCode="#,##0.0;\(#,##0.0\);0"/>
    <numFmt numFmtId="168" formatCode="mmm/yy\ &quot;A&quot;"/>
    <numFmt numFmtId="169" formatCode="mmm/yy\ &quot;E&quot;"/>
    <numFmt numFmtId="170" formatCode="0.0"/>
    <numFmt numFmtId="171" formatCode="&quot;₹&quot;\ #,##0.00"/>
    <numFmt numFmtId="172" formatCode="0.0&quot;x&quot;"/>
    <numFmt numFmtId="173" formatCode="0.0\ &quot;x&quot;"/>
    <numFmt numFmtId="175" formatCode="#,##0.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theme="0" tint="-0.34998626667073579"/>
      <name val="Calibri"/>
      <family val="2"/>
      <scheme val="minor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665EFD"/>
      <name val="Arial"/>
      <family val="2"/>
    </font>
    <font>
      <sz val="11"/>
      <color rgb="FF22222F"/>
      <name val="Arial"/>
      <family val="2"/>
    </font>
    <font>
      <b/>
      <sz val="11"/>
      <color rgb="FF22222F"/>
      <name val="Calibri"/>
      <family val="2"/>
      <scheme val="minor"/>
    </font>
    <font>
      <sz val="11"/>
      <color rgb="FF22222F"/>
      <name val="Calibri"/>
      <family val="2"/>
      <scheme val="minor"/>
    </font>
    <font>
      <b/>
      <i/>
      <sz val="9"/>
      <color theme="1"/>
      <name val="Calibri"/>
      <family val="2"/>
    </font>
    <font>
      <b/>
      <sz val="11"/>
      <color theme="0"/>
      <name val="Calibri"/>
      <family val="2"/>
    </font>
    <font>
      <sz val="9"/>
      <color theme="4" tint="-0.249977111117893"/>
      <name val="Arial"/>
      <family val="2"/>
    </font>
    <font>
      <sz val="11"/>
      <color theme="4" tint="-0.249977111117893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lightUp"/>
    </fill>
    <fill>
      <patternFill patternType="solid">
        <fgColor theme="2" tint="-0.749992370372631"/>
        <bgColor indexed="64"/>
      </patternFill>
    </fill>
  </fills>
  <borders count="7">
    <border>
      <left/>
      <right/>
      <top/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DBE4F0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44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0" fontId="0" fillId="0" borderId="0" xfId="0" applyAlignment="1">
      <alignment horizontal="right"/>
    </xf>
    <xf numFmtId="0" fontId="1" fillId="7" borderId="0" xfId="0" applyFont="1" applyFill="1" applyAlignment="1">
      <alignment horizontal="right"/>
    </xf>
    <xf numFmtId="0" fontId="0" fillId="7" borderId="0" xfId="0" applyFill="1" applyAlignment="1">
      <alignment horizontal="right"/>
    </xf>
    <xf numFmtId="166" fontId="0" fillId="0" borderId="0" xfId="0" applyNumberFormat="1" applyAlignment="1">
      <alignment horizontal="right"/>
    </xf>
    <xf numFmtId="0" fontId="1" fillId="7" borderId="0" xfId="0" applyFont="1" applyFill="1" applyAlignment="1">
      <alignment horizontal="left"/>
    </xf>
    <xf numFmtId="43" fontId="0" fillId="0" borderId="0" xfId="0" applyNumberFormat="1" applyAlignment="1">
      <alignment horizontal="left"/>
    </xf>
    <xf numFmtId="0" fontId="2" fillId="6" borderId="0" xfId="0" applyFont="1" applyFill="1" applyAlignment="1">
      <alignment horizontal="left"/>
    </xf>
    <xf numFmtId="0" fontId="0" fillId="0" borderId="1" xfId="0" applyBorder="1" applyAlignment="1">
      <alignment horizontal="left"/>
    </xf>
    <xf numFmtId="0" fontId="11" fillId="8" borderId="0" xfId="0" applyFont="1" applyFill="1" applyAlignment="1">
      <alignment horizontal="left"/>
    </xf>
    <xf numFmtId="10" fontId="11" fillId="8" borderId="0" xfId="6" applyNumberFormat="1" applyFont="1" applyFill="1" applyAlignment="1">
      <alignment horizontal="right"/>
    </xf>
    <xf numFmtId="10" fontId="11" fillId="8" borderId="0" xfId="6" applyNumberFormat="1" applyFont="1" applyFill="1" applyAlignment="1">
      <alignment horizontal="left"/>
    </xf>
    <xf numFmtId="43" fontId="1" fillId="0" borderId="1" xfId="0" applyNumberFormat="1" applyFont="1" applyBorder="1" applyAlignment="1">
      <alignment horizontal="left"/>
    </xf>
    <xf numFmtId="43" fontId="1" fillId="0" borderId="2" xfId="0" applyNumberFormat="1" applyFont="1" applyBorder="1" applyAlignment="1">
      <alignment horizontal="left"/>
    </xf>
    <xf numFmtId="0" fontId="0" fillId="9" borderId="0" xfId="0" applyFill="1"/>
    <xf numFmtId="17" fontId="12" fillId="9" borderId="3" xfId="0" applyNumberFormat="1" applyFont="1" applyFill="1" applyBorder="1" applyAlignment="1">
      <alignment horizontal="right" vertical="center" wrapText="1"/>
    </xf>
    <xf numFmtId="0" fontId="13" fillId="10" borderId="4" xfId="0" applyFont="1" applyFill="1" applyBorder="1" applyAlignment="1">
      <alignment horizontal="left" vertical="center" indent="2"/>
    </xf>
    <xf numFmtId="3" fontId="13" fillId="10" borderId="4" xfId="0" applyNumberFormat="1" applyFont="1" applyFill="1" applyBorder="1" applyAlignment="1">
      <alignment horizontal="right" vertical="center" wrapText="1"/>
    </xf>
    <xf numFmtId="0" fontId="13" fillId="10" borderId="4" xfId="0" applyFont="1" applyFill="1" applyBorder="1" applyAlignment="1">
      <alignment horizontal="left" vertical="center"/>
    </xf>
    <xf numFmtId="0" fontId="15" fillId="10" borderId="0" xfId="0" applyFont="1" applyFill="1" applyAlignment="1">
      <alignment horizontal="left" vertical="center"/>
    </xf>
    <xf numFmtId="0" fontId="15" fillId="10" borderId="0" xfId="0" applyFont="1" applyFill="1" applyAlignment="1">
      <alignment horizontal="right" vertical="center" wrapText="1"/>
    </xf>
    <xf numFmtId="3" fontId="15" fillId="10" borderId="0" xfId="0" applyNumberFormat="1" applyFont="1" applyFill="1" applyAlignment="1">
      <alignment horizontal="right" vertical="center" wrapText="1"/>
    </xf>
    <xf numFmtId="0" fontId="13" fillId="10" borderId="4" xfId="0" applyFont="1" applyFill="1" applyBorder="1" applyAlignment="1">
      <alignment horizontal="right" vertical="center" wrapText="1"/>
    </xf>
    <xf numFmtId="0" fontId="13" fillId="9" borderId="4" xfId="0" applyFont="1" applyFill="1" applyBorder="1" applyAlignment="1">
      <alignment horizontal="left" vertical="center" indent="2"/>
    </xf>
    <xf numFmtId="0" fontId="13" fillId="9" borderId="4" xfId="0" applyFont="1" applyFill="1" applyBorder="1" applyAlignment="1">
      <alignment horizontal="right" vertical="center" wrapText="1"/>
    </xf>
    <xf numFmtId="3" fontId="13" fillId="9" borderId="4" xfId="0" applyNumberFormat="1" applyFont="1" applyFill="1" applyBorder="1" applyAlignment="1">
      <alignment horizontal="right" vertical="center" wrapText="1"/>
    </xf>
    <xf numFmtId="0" fontId="15" fillId="9" borderId="0" xfId="0" applyFont="1" applyFill="1" applyAlignment="1">
      <alignment horizontal="left" vertical="center"/>
    </xf>
    <xf numFmtId="0" fontId="15" fillId="9" borderId="0" xfId="0" applyFont="1" applyFill="1" applyAlignment="1">
      <alignment horizontal="right" vertical="center" wrapText="1"/>
    </xf>
    <xf numFmtId="3" fontId="15" fillId="9" borderId="0" xfId="0" applyNumberFormat="1" applyFont="1" applyFill="1" applyAlignment="1">
      <alignment horizontal="right" vertical="center" wrapText="1"/>
    </xf>
    <xf numFmtId="49" fontId="16" fillId="9" borderId="0" xfId="0" applyNumberFormat="1" applyFont="1" applyFill="1" applyAlignment="1">
      <alignment horizontal="left" vertical="center"/>
    </xf>
    <xf numFmtId="49" fontId="17" fillId="9" borderId="0" xfId="0" applyNumberFormat="1" applyFont="1" applyFill="1" applyAlignment="1">
      <alignment horizontal="left" vertical="center"/>
    </xf>
    <xf numFmtId="49" fontId="16" fillId="9" borderId="5" xfId="0" applyNumberFormat="1" applyFont="1" applyFill="1" applyBorder="1" applyAlignment="1">
      <alignment horizontal="left" vertical="center"/>
    </xf>
    <xf numFmtId="0" fontId="10" fillId="0" borderId="1" xfId="0" applyFont="1" applyBorder="1"/>
    <xf numFmtId="167" fontId="1" fillId="0" borderId="5" xfId="0" applyNumberFormat="1" applyFont="1" applyBorder="1"/>
    <xf numFmtId="167" fontId="0" fillId="0" borderId="0" xfId="0" applyNumberFormat="1"/>
    <xf numFmtId="167" fontId="1" fillId="0" borderId="1" xfId="0" applyNumberFormat="1" applyFont="1" applyBorder="1"/>
    <xf numFmtId="167" fontId="0" fillId="0" borderId="1" xfId="0" applyNumberFormat="1" applyBorder="1" applyAlignment="1">
      <alignment horizontal="right"/>
    </xf>
    <xf numFmtId="167" fontId="1" fillId="0" borderId="1" xfId="0" applyNumberFormat="1" applyFont="1" applyBorder="1" applyAlignment="1">
      <alignment horizontal="right"/>
    </xf>
    <xf numFmtId="167" fontId="1" fillId="0" borderId="2" xfId="0" applyNumberFormat="1" applyFont="1" applyBorder="1" applyAlignment="1">
      <alignment horizontal="right"/>
    </xf>
    <xf numFmtId="167" fontId="0" fillId="0" borderId="0" xfId="0" applyNumberFormat="1" applyAlignment="1">
      <alignment horizontal="right"/>
    </xf>
    <xf numFmtId="17" fontId="2" fillId="0" borderId="0" xfId="0" applyNumberFormat="1" applyFont="1" applyAlignment="1">
      <alignment horizontal="right"/>
    </xf>
    <xf numFmtId="168" fontId="2" fillId="6" borderId="0" xfId="0" applyNumberFormat="1" applyFont="1" applyFill="1" applyAlignment="1">
      <alignment horizontal="right"/>
    </xf>
    <xf numFmtId="169" fontId="2" fillId="6" borderId="0" xfId="0" applyNumberFormat="1" applyFont="1" applyFill="1" applyAlignment="1">
      <alignment horizontal="right"/>
    </xf>
    <xf numFmtId="166" fontId="0" fillId="8" borderId="0" xfId="0" applyNumberFormat="1" applyFill="1" applyAlignment="1">
      <alignment horizontal="right"/>
    </xf>
    <xf numFmtId="0" fontId="0" fillId="8" borderId="0" xfId="0" applyFill="1"/>
    <xf numFmtId="166" fontId="0" fillId="8" borderId="1" xfId="0" applyNumberFormat="1" applyFill="1" applyBorder="1" applyAlignment="1">
      <alignment horizontal="right"/>
    </xf>
    <xf numFmtId="0" fontId="10" fillId="0" borderId="0" xfId="0" applyFont="1"/>
    <xf numFmtId="0" fontId="18" fillId="0" borderId="0" xfId="0" applyFont="1"/>
    <xf numFmtId="166" fontId="1" fillId="8" borderId="1" xfId="0" applyNumberFormat="1" applyFont="1" applyFill="1" applyBorder="1" applyAlignment="1">
      <alignment horizontal="right"/>
    </xf>
    <xf numFmtId="167" fontId="1" fillId="8" borderId="2" xfId="0" applyNumberFormat="1" applyFont="1" applyFill="1" applyBorder="1" applyAlignment="1">
      <alignment horizontal="right"/>
    </xf>
    <xf numFmtId="167" fontId="0" fillId="8" borderId="0" xfId="0" applyNumberFormat="1" applyFill="1" applyAlignment="1">
      <alignment horizontal="right"/>
    </xf>
    <xf numFmtId="167" fontId="1" fillId="8" borderId="1" xfId="0" applyNumberFormat="1" applyFont="1" applyFill="1" applyBorder="1"/>
    <xf numFmtId="167" fontId="1" fillId="8" borderId="5" xfId="0" applyNumberFormat="1" applyFont="1" applyFill="1" applyBorder="1"/>
    <xf numFmtId="10" fontId="0" fillId="8" borderId="0" xfId="0" applyNumberFormat="1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horizontal="left" vertical="center" indent="2"/>
    </xf>
    <xf numFmtId="4" fontId="0" fillId="0" borderId="0" xfId="0" applyNumberFormat="1" applyAlignment="1">
      <alignment vertical="center"/>
    </xf>
    <xf numFmtId="0" fontId="13" fillId="10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3" fontId="13" fillId="9" borderId="0" xfId="0" applyNumberFormat="1" applyFont="1" applyFill="1" applyAlignment="1">
      <alignment horizontal="right" vertical="center" wrapText="1"/>
    </xf>
    <xf numFmtId="2" fontId="0" fillId="0" borderId="0" xfId="0" applyNumberFormat="1"/>
    <xf numFmtId="0" fontId="0" fillId="11" borderId="0" xfId="0" applyFill="1"/>
    <xf numFmtId="170" fontId="0" fillId="0" borderId="0" xfId="0" applyNumberFormat="1"/>
    <xf numFmtId="1" fontId="0" fillId="0" borderId="0" xfId="0" applyNumberFormat="1"/>
    <xf numFmtId="1" fontId="0" fillId="8" borderId="0" xfId="0" applyNumberFormat="1" applyFill="1"/>
    <xf numFmtId="2" fontId="0" fillId="8" borderId="0" xfId="0" applyNumberFormat="1" applyFill="1"/>
    <xf numFmtId="170" fontId="0" fillId="8" borderId="0" xfId="0" applyNumberFormat="1" applyFill="1"/>
    <xf numFmtId="9" fontId="0" fillId="0" borderId="0" xfId="6" applyFont="1" applyAlignment="1">
      <alignment horizontal="right"/>
    </xf>
    <xf numFmtId="9" fontId="0" fillId="0" borderId="0" xfId="6" applyFont="1"/>
    <xf numFmtId="10" fontId="0" fillId="0" borderId="0" xfId="6" applyNumberFormat="1" applyFont="1"/>
    <xf numFmtId="0" fontId="2" fillId="6" borderId="0" xfId="0" applyFont="1" applyFill="1"/>
    <xf numFmtId="0" fontId="2" fillId="0" borderId="0" xfId="0" applyFont="1"/>
    <xf numFmtId="10" fontId="1" fillId="0" borderId="0" xfId="6" applyNumberFormat="1" applyFont="1"/>
    <xf numFmtId="10" fontId="1" fillId="8" borderId="0" xfId="6" applyNumberFormat="1" applyFont="1" applyFill="1"/>
    <xf numFmtId="0" fontId="1" fillId="8" borderId="0" xfId="0" applyFont="1" applyFill="1"/>
    <xf numFmtId="171" fontId="20" fillId="0" borderId="0" xfId="0" applyNumberFormat="1" applyFont="1"/>
    <xf numFmtId="10" fontId="21" fillId="0" borderId="0" xfId="0" applyNumberFormat="1" applyFont="1"/>
    <xf numFmtId="0" fontId="21" fillId="0" borderId="0" xfId="0" applyFont="1"/>
    <xf numFmtId="9" fontId="21" fillId="0" borderId="0" xfId="6" applyFont="1"/>
    <xf numFmtId="9" fontId="0" fillId="0" borderId="0" xfId="0" applyNumberFormat="1"/>
    <xf numFmtId="167" fontId="1" fillId="8" borderId="0" xfId="0" applyNumberFormat="1" applyFont="1" applyFill="1"/>
    <xf numFmtId="2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72" fontId="0" fillId="0" borderId="0" xfId="0" applyNumberFormat="1" applyAlignment="1">
      <alignment horizontal="right"/>
    </xf>
    <xf numFmtId="0" fontId="10" fillId="0" borderId="0" xfId="0" applyFont="1" applyAlignment="1">
      <alignment horizontal="left"/>
    </xf>
    <xf numFmtId="172" fontId="10" fillId="0" borderId="0" xfId="0" applyNumberFormat="1" applyFont="1" applyAlignment="1">
      <alignment horizontal="right"/>
    </xf>
    <xf numFmtId="0" fontId="19" fillId="6" borderId="0" xfId="0" applyFont="1" applyFill="1" applyAlignment="1">
      <alignment horizontal="center"/>
    </xf>
    <xf numFmtId="0" fontId="19" fillId="6" borderId="0" xfId="0" applyFont="1" applyFill="1"/>
    <xf numFmtId="0" fontId="19" fillId="6" borderId="0" xfId="0" applyFont="1" applyFill="1" applyAlignment="1">
      <alignment horizontal="right"/>
    </xf>
    <xf numFmtId="0" fontId="17" fillId="0" borderId="0" xfId="0" applyFont="1" applyAlignment="1">
      <alignment horizontal="right"/>
    </xf>
    <xf numFmtId="167" fontId="17" fillId="0" borderId="0" xfId="0" applyNumberFormat="1" applyFont="1" applyAlignment="1">
      <alignment horizontal="right"/>
    </xf>
    <xf numFmtId="167" fontId="22" fillId="0" borderId="0" xfId="0" applyNumberFormat="1" applyFont="1" applyAlignment="1">
      <alignment horizontal="right"/>
    </xf>
    <xf numFmtId="0" fontId="22" fillId="0" borderId="0" xfId="0" applyFont="1" applyAlignment="1">
      <alignment horizontal="right"/>
    </xf>
    <xf numFmtId="173" fontId="0" fillId="0" borderId="0" xfId="0" applyNumberFormat="1" applyAlignment="1">
      <alignment horizontal="right"/>
    </xf>
    <xf numFmtId="0" fontId="1" fillId="8" borderId="0" xfId="0" applyFont="1" applyFill="1" applyAlignment="1">
      <alignment horizontal="left"/>
    </xf>
    <xf numFmtId="167" fontId="16" fillId="8" borderId="0" xfId="0" applyNumberFormat="1" applyFont="1" applyFill="1" applyAlignment="1">
      <alignment horizontal="right"/>
    </xf>
    <xf numFmtId="43" fontId="0" fillId="0" borderId="0" xfId="0" applyNumberFormat="1"/>
    <xf numFmtId="169" fontId="2" fillId="0" borderId="0" xfId="0" applyNumberFormat="1" applyFont="1" applyAlignment="1">
      <alignment horizontal="right"/>
    </xf>
    <xf numFmtId="43" fontId="1" fillId="0" borderId="0" xfId="0" applyNumberFormat="1" applyFont="1"/>
    <xf numFmtId="43" fontId="1" fillId="0" borderId="1" xfId="0" applyNumberFormat="1" applyFont="1" applyBorder="1"/>
    <xf numFmtId="10" fontId="1" fillId="0" borderId="1" xfId="6" applyNumberFormat="1" applyFont="1" applyBorder="1"/>
    <xf numFmtId="168" fontId="0" fillId="0" borderId="0" xfId="0" applyNumberFormat="1" applyAlignment="1">
      <alignment horizontal="left"/>
    </xf>
    <xf numFmtId="169" fontId="0" fillId="0" borderId="0" xfId="0" applyNumberFormat="1" applyAlignment="1">
      <alignment horizontal="left"/>
    </xf>
    <xf numFmtId="10" fontId="0" fillId="0" borderId="0" xfId="6" applyNumberFormat="1" applyFont="1" applyAlignment="1">
      <alignment horizontal="right"/>
    </xf>
    <xf numFmtId="0" fontId="2" fillId="12" borderId="0" xfId="0" applyFont="1" applyFill="1" applyAlignment="1">
      <alignment horizontal="left"/>
    </xf>
    <xf numFmtId="0" fontId="2" fillId="12" borderId="0" xfId="0" applyFont="1" applyFill="1" applyAlignment="1">
      <alignment horizontal="right"/>
    </xf>
    <xf numFmtId="9" fontId="0" fillId="0" borderId="0" xfId="0" applyNumberFormat="1" applyAlignment="1">
      <alignment horizontal="right"/>
    </xf>
    <xf numFmtId="9" fontId="0" fillId="8" borderId="0" xfId="6" applyFont="1" applyFill="1" applyAlignment="1">
      <alignment horizontal="right"/>
    </xf>
    <xf numFmtId="0" fontId="2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19" fillId="6" borderId="6" xfId="0" applyFont="1" applyFill="1" applyBorder="1" applyAlignment="1">
      <alignment horizontal="center"/>
    </xf>
    <xf numFmtId="0" fontId="2" fillId="12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167" fontId="5" fillId="0" borderId="0" xfId="0" applyNumberFormat="1" applyFont="1"/>
    <xf numFmtId="175" fontId="0" fillId="0" borderId="0" xfId="0" applyNumberFormat="1"/>
    <xf numFmtId="175" fontId="0" fillId="8" borderId="0" xfId="0" applyNumberFormat="1" applyFill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HUL-YoY</a:t>
            </a:r>
            <a:r>
              <a:rPr lang="en-IN" baseline="0"/>
              <a:t> Growth</a:t>
            </a:r>
          </a:p>
        </c:rich>
      </c:tx>
      <c:layout>
        <c:manualLayout>
          <c:xMode val="edge"/>
          <c:yMode val="edge"/>
          <c:x val="0.4472774762378004"/>
          <c:y val="1.59744408945686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'Trend Analysis'!$B$4:$B$18</c:f>
              <c:numCache>
                <c:formatCode>mmm/yy\ "A"</c:formatCode>
                <c:ptCount val="15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 formatCode="mmm/yy\ &quot;E&quot;">
                  <c:v>46112</c:v>
                </c:pt>
                <c:pt idx="11" formatCode="mmm/yy\ &quot;E&quot;">
                  <c:v>46477</c:v>
                </c:pt>
                <c:pt idx="12" formatCode="mmm/yy\ &quot;E&quot;">
                  <c:v>46842</c:v>
                </c:pt>
                <c:pt idx="13" formatCode="mmm/yy\ &quot;E&quot;">
                  <c:v>47207</c:v>
                </c:pt>
                <c:pt idx="14" formatCode="mmm/yy\ &quot;E&quot;">
                  <c:v>47572</c:v>
                </c:pt>
              </c:numCache>
            </c:numRef>
          </c:cat>
          <c:val>
            <c:numRef>
              <c:f>'Trend Analysis'!$D$4:$D$18</c:f>
              <c:numCache>
                <c:formatCode>0.00%</c:formatCode>
                <c:ptCount val="15"/>
                <c:pt idx="0" formatCode="0%">
                  <c:v>0</c:v>
                </c:pt>
                <c:pt idx="1">
                  <c:v>3.03237432424035E-2</c:v>
                </c:pt>
                <c:pt idx="2">
                  <c:v>7.1859357095470644E-2</c:v>
                </c:pt>
                <c:pt idx="3">
                  <c:v>0.1059220706147137</c:v>
                </c:pt>
                <c:pt idx="4">
                  <c:v>1.2032561689137689E-2</c:v>
                </c:pt>
                <c:pt idx="5">
                  <c:v>0.18211296282331646</c:v>
                </c:pt>
                <c:pt idx="6">
                  <c:v>0.11520796121459553</c:v>
                </c:pt>
                <c:pt idx="7">
                  <c:v>0.15509285741524614</c:v>
                </c:pt>
                <c:pt idx="8">
                  <c:v>2.1723341036645749E-2</c:v>
                </c:pt>
                <c:pt idx="9">
                  <c:v>1.9791262763344974E-2</c:v>
                </c:pt>
                <c:pt idx="10">
                  <c:v>8.0729886256992511E-2</c:v>
                </c:pt>
                <c:pt idx="11">
                  <c:v>5.7831918978121566E-2</c:v>
                </c:pt>
                <c:pt idx="12">
                  <c:v>5.4670234411141605E-2</c:v>
                </c:pt>
                <c:pt idx="13">
                  <c:v>5.1836330093894212E-2</c:v>
                </c:pt>
                <c:pt idx="14">
                  <c:v>4.9281745278058287E-2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E4-4AFB-868E-A59B2CDCD1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20011824"/>
        <c:axId val="14200123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'Trend Analysis'!$B$4:$B$18</c15:sqref>
                        </c15:formulaRef>
                      </c:ext>
                    </c:extLst>
                    <c:numCache>
                      <c:formatCode>mmm/yy\ "A"</c:formatCode>
                      <c:ptCount val="15"/>
                      <c:pt idx="0">
                        <c:v>42460</c:v>
                      </c:pt>
                      <c:pt idx="1">
                        <c:v>42825</c:v>
                      </c:pt>
                      <c:pt idx="2">
                        <c:v>43190</c:v>
                      </c:pt>
                      <c:pt idx="3">
                        <c:v>43555</c:v>
                      </c:pt>
                      <c:pt idx="4">
                        <c:v>43921</c:v>
                      </c:pt>
                      <c:pt idx="5">
                        <c:v>44286</c:v>
                      </c:pt>
                      <c:pt idx="6">
                        <c:v>44651</c:v>
                      </c:pt>
                      <c:pt idx="7">
                        <c:v>45016</c:v>
                      </c:pt>
                      <c:pt idx="8">
                        <c:v>45382</c:v>
                      </c:pt>
                      <c:pt idx="9">
                        <c:v>45747</c:v>
                      </c:pt>
                      <c:pt idx="10" formatCode="mmm/yy\ &quot;E&quot;">
                        <c:v>46112</c:v>
                      </c:pt>
                      <c:pt idx="11" formatCode="mmm/yy\ &quot;E&quot;">
                        <c:v>46477</c:v>
                      </c:pt>
                      <c:pt idx="12" formatCode="mmm/yy\ &quot;E&quot;">
                        <c:v>46842</c:v>
                      </c:pt>
                      <c:pt idx="13" formatCode="mmm/yy\ &quot;E&quot;">
                        <c:v>47207</c:v>
                      </c:pt>
                      <c:pt idx="14" formatCode="mmm/yy\ &quot;E&quot;">
                        <c:v>47572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'Trend Analysis'!$C$4:$C$18</c15:sqref>
                        </c15:formulaRef>
                      </c:ext>
                    </c:extLst>
                    <c:numCache>
                      <c:formatCode>#,##0.0;\(#,##0.0\);0</c:formatCode>
                      <c:ptCount val="15"/>
                      <c:pt idx="0">
                        <c:v>32186</c:v>
                      </c:pt>
                      <c:pt idx="1">
                        <c:v>33162</c:v>
                      </c:pt>
                      <c:pt idx="2">
                        <c:v>35545</c:v>
                      </c:pt>
                      <c:pt idx="3">
                        <c:v>39310</c:v>
                      </c:pt>
                      <c:pt idx="4">
                        <c:v>39783</c:v>
                      </c:pt>
                      <c:pt idx="5">
                        <c:v>47028</c:v>
                      </c:pt>
                      <c:pt idx="6">
                        <c:v>52446</c:v>
                      </c:pt>
                      <c:pt idx="7">
                        <c:v>60580</c:v>
                      </c:pt>
                      <c:pt idx="8">
                        <c:v>61896</c:v>
                      </c:pt>
                      <c:pt idx="9">
                        <c:v>63121</c:v>
                      </c:pt>
                      <c:pt idx="10">
                        <c:v>68216.751150427619</c:v>
                      </c:pt>
                      <c:pt idx="11">
                        <c:v>72161.856775909837</c:v>
                      </c:pt>
                      <c:pt idx="12">
                        <c:v>76106.962401392055</c:v>
                      </c:pt>
                      <c:pt idx="13">
                        <c:v>80052.068026874214</c:v>
                      </c:pt>
                      <c:pt idx="14">
                        <c:v>83997.173652356432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3E4-4AFB-868E-A59B2CDCD130}"/>
                  </c:ext>
                </c:extLst>
              </c15:ser>
            </c15:filteredLineSeries>
          </c:ext>
        </c:extLst>
      </c:lineChart>
      <c:catAx>
        <c:axId val="142001182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/yy\ &quot;A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012304"/>
        <c:crosses val="autoZero"/>
        <c:auto val="0"/>
        <c:lblAlgn val="ctr"/>
        <c:lblOffset val="100"/>
        <c:noMultiLvlLbl val="0"/>
      </c:catAx>
      <c:valAx>
        <c:axId val="142001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01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175260</xdr:colOff>
      <xdr:row>1</xdr:row>
      <xdr:rowOff>15240</xdr:rowOff>
    </xdr:from>
    <xdr:to>
      <xdr:col>19</xdr:col>
      <xdr:colOff>99060</xdr:colOff>
      <xdr:row>27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16175B-08B4-A855-2FF4-C04D1C1726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D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HINDUSTAN UNILEVER LTD</v>
      </c>
      <c r="H1" t="str">
        <f>UPDATE</f>
        <v/>
      </c>
      <c r="J1" s="3"/>
      <c r="K1" s="3"/>
      <c r="M1" s="2" t="s">
        <v>1</v>
      </c>
    </row>
    <row r="3" spans="1:14" s="2" customFormat="1" x14ac:dyDescent="0.3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3">
      <c r="A4" s="2" t="s">
        <v>6</v>
      </c>
      <c r="B4" s="1">
        <f>'Data Sheet'!B17</f>
        <v>32186</v>
      </c>
      <c r="C4" s="1">
        <f>'Data Sheet'!C17</f>
        <v>33162</v>
      </c>
      <c r="D4" s="1">
        <f>'Data Sheet'!D17</f>
        <v>35545</v>
      </c>
      <c r="E4" s="1">
        <f>'Data Sheet'!E17</f>
        <v>39310</v>
      </c>
      <c r="F4" s="1">
        <f>'Data Sheet'!F17</f>
        <v>39783</v>
      </c>
      <c r="G4" s="1">
        <f>'Data Sheet'!G17</f>
        <v>47028</v>
      </c>
      <c r="H4" s="1">
        <f>'Data Sheet'!H17</f>
        <v>52446</v>
      </c>
      <c r="I4" s="1">
        <f>'Data Sheet'!I17</f>
        <v>60580</v>
      </c>
      <c r="J4" s="1">
        <f>'Data Sheet'!J17</f>
        <v>61896</v>
      </c>
      <c r="K4" s="1">
        <f>'Data Sheet'!K17</f>
        <v>63121</v>
      </c>
      <c r="L4" s="1">
        <f>SUM(Quarters!H4:K4)</f>
        <v>63121</v>
      </c>
      <c r="M4" s="1">
        <f>$K4+M23*K4</f>
        <v>67142.014980470805</v>
      </c>
      <c r="N4" s="1">
        <f>$K4+N23*L4</f>
        <v>64370.244296885096</v>
      </c>
    </row>
    <row r="5" spans="1:14" x14ac:dyDescent="0.3">
      <c r="A5" t="s">
        <v>7</v>
      </c>
      <c r="B5" s="6">
        <f>SUM('Data Sheet'!B18,'Data Sheet'!B20:B24, -1*'Data Sheet'!B19)</f>
        <v>26276</v>
      </c>
      <c r="C5" s="6">
        <f>SUM('Data Sheet'!C18,'Data Sheet'!C20:C24, -1*'Data Sheet'!C19)</f>
        <v>26834</v>
      </c>
      <c r="D5" s="6">
        <f>SUM('Data Sheet'!D18,'Data Sheet'!D20:D24, -1*'Data Sheet'!D19)</f>
        <v>28046</v>
      </c>
      <c r="E5" s="6">
        <f>SUM('Data Sheet'!E18,'Data Sheet'!E20:E24, -1*'Data Sheet'!E19)</f>
        <v>30430</v>
      </c>
      <c r="F5" s="6">
        <f>SUM('Data Sheet'!F18,'Data Sheet'!F20:F24, -1*'Data Sheet'!F19)</f>
        <v>29922</v>
      </c>
      <c r="G5" s="6">
        <f>SUM('Data Sheet'!G18,'Data Sheet'!G20:G24, -1*'Data Sheet'!G19)</f>
        <v>35402</v>
      </c>
      <c r="H5" s="6">
        <f>SUM('Data Sheet'!H18,'Data Sheet'!H20:H24, -1*'Data Sheet'!H19)</f>
        <v>39589</v>
      </c>
      <c r="I5" s="6">
        <f>SUM('Data Sheet'!I18,'Data Sheet'!I20:I24, -1*'Data Sheet'!I19)</f>
        <v>46433</v>
      </c>
      <c r="J5" s="6">
        <f>SUM('Data Sheet'!J18,'Data Sheet'!J20:J24, -1*'Data Sheet'!J19)</f>
        <v>47237</v>
      </c>
      <c r="K5" s="6">
        <f>SUM('Data Sheet'!K18,'Data Sheet'!K20:K24, -1*'Data Sheet'!K19)</f>
        <v>48278</v>
      </c>
      <c r="L5" s="6">
        <f>SUM(Quarters!H5:K5)</f>
        <v>48279</v>
      </c>
      <c r="M5" s="6">
        <f t="shared" ref="M5:N5" si="0">M4-M6</f>
        <v>51351.448258581062</v>
      </c>
      <c r="N5" s="6">
        <f t="shared" si="0"/>
        <v>49613.963358223984</v>
      </c>
    </row>
    <row r="6" spans="1:14" s="2" customFormat="1" x14ac:dyDescent="0.3">
      <c r="A6" s="2" t="s">
        <v>8</v>
      </c>
      <c r="B6" s="1">
        <f>B4-B5</f>
        <v>5910</v>
      </c>
      <c r="C6" s="1">
        <f t="shared" ref="C6:K6" si="1">C4-C5</f>
        <v>6328</v>
      </c>
      <c r="D6" s="1">
        <f t="shared" si="1"/>
        <v>7499</v>
      </c>
      <c r="E6" s="1">
        <f t="shared" si="1"/>
        <v>8880</v>
      </c>
      <c r="F6" s="1">
        <f t="shared" si="1"/>
        <v>9861</v>
      </c>
      <c r="G6" s="1">
        <f t="shared" si="1"/>
        <v>11626</v>
      </c>
      <c r="H6" s="1">
        <f t="shared" si="1"/>
        <v>12857</v>
      </c>
      <c r="I6" s="1">
        <f t="shared" si="1"/>
        <v>14147</v>
      </c>
      <c r="J6" s="1">
        <f t="shared" si="1"/>
        <v>14659</v>
      </c>
      <c r="K6" s="1">
        <f t="shared" si="1"/>
        <v>14843</v>
      </c>
      <c r="L6" s="1">
        <f>SUM(Quarters!H6:K6)</f>
        <v>14842</v>
      </c>
      <c r="M6" s="1">
        <f>M4*M24</f>
        <v>15790.56672188974</v>
      </c>
      <c r="N6" s="1">
        <f>N4*N24</f>
        <v>14756.28093866111</v>
      </c>
    </row>
    <row r="7" spans="1:14" x14ac:dyDescent="0.3">
      <c r="A7" t="s">
        <v>9</v>
      </c>
      <c r="B7" s="6">
        <f>'Data Sheet'!B25</f>
        <v>486</v>
      </c>
      <c r="C7" s="6">
        <f>'Data Sheet'!C25</f>
        <v>606</v>
      </c>
      <c r="D7" s="6">
        <f>'Data Sheet'!D25</f>
        <v>353</v>
      </c>
      <c r="E7" s="6">
        <f>'Data Sheet'!E25</f>
        <v>322</v>
      </c>
      <c r="F7" s="6">
        <f>'Data Sheet'!F25</f>
        <v>424</v>
      </c>
      <c r="G7" s="6">
        <f>'Data Sheet'!G25</f>
        <v>170</v>
      </c>
      <c r="H7" s="6">
        <f>'Data Sheet'!H25</f>
        <v>219</v>
      </c>
      <c r="I7" s="6">
        <f>'Data Sheet'!I25</f>
        <v>448</v>
      </c>
      <c r="J7" s="6">
        <f>'Data Sheet'!J25</f>
        <v>817</v>
      </c>
      <c r="K7" s="6">
        <f>'Data Sheet'!K25</f>
        <v>1322</v>
      </c>
      <c r="L7" s="6">
        <f>SUM(Quarters!H7:K7)</f>
        <v>1323</v>
      </c>
      <c r="M7" s="6">
        <v>0</v>
      </c>
      <c r="N7" s="6">
        <v>0</v>
      </c>
    </row>
    <row r="8" spans="1:14" x14ac:dyDescent="0.3">
      <c r="A8" t="s">
        <v>10</v>
      </c>
      <c r="B8" s="6">
        <f>'Data Sheet'!B26</f>
        <v>353</v>
      </c>
      <c r="C8" s="6">
        <f>'Data Sheet'!C26</f>
        <v>432</v>
      </c>
      <c r="D8" s="6">
        <f>'Data Sheet'!D26</f>
        <v>520</v>
      </c>
      <c r="E8" s="6">
        <f>'Data Sheet'!E26</f>
        <v>565</v>
      </c>
      <c r="F8" s="6">
        <f>'Data Sheet'!F26</f>
        <v>1002</v>
      </c>
      <c r="G8" s="6">
        <f>'Data Sheet'!G26</f>
        <v>1074</v>
      </c>
      <c r="H8" s="6">
        <f>'Data Sheet'!H26</f>
        <v>1091</v>
      </c>
      <c r="I8" s="6">
        <f>'Data Sheet'!I26</f>
        <v>1137</v>
      </c>
      <c r="J8" s="6">
        <f>'Data Sheet'!J26</f>
        <v>1216</v>
      </c>
      <c r="K8" s="6">
        <f>'Data Sheet'!K26</f>
        <v>1355</v>
      </c>
      <c r="L8" s="6">
        <f>SUM(Quarters!H8:K8)</f>
        <v>1355</v>
      </c>
      <c r="M8" s="6">
        <f>+$L8</f>
        <v>1355</v>
      </c>
      <c r="N8" s="6">
        <f>+$L8</f>
        <v>1355</v>
      </c>
    </row>
    <row r="9" spans="1:14" x14ac:dyDescent="0.3">
      <c r="A9" t="s">
        <v>11</v>
      </c>
      <c r="B9" s="6">
        <f>'Data Sheet'!B27</f>
        <v>17</v>
      </c>
      <c r="C9" s="6">
        <f>'Data Sheet'!C27</f>
        <v>35</v>
      </c>
      <c r="D9" s="6">
        <f>'Data Sheet'!D27</f>
        <v>26</v>
      </c>
      <c r="E9" s="6">
        <f>'Data Sheet'!E27</f>
        <v>33</v>
      </c>
      <c r="F9" s="6">
        <f>'Data Sheet'!F27</f>
        <v>118</v>
      </c>
      <c r="G9" s="6">
        <f>'Data Sheet'!G27</f>
        <v>117</v>
      </c>
      <c r="H9" s="6">
        <f>'Data Sheet'!H27</f>
        <v>106</v>
      </c>
      <c r="I9" s="6">
        <f>'Data Sheet'!I27</f>
        <v>114</v>
      </c>
      <c r="J9" s="6">
        <f>'Data Sheet'!J27</f>
        <v>334</v>
      </c>
      <c r="K9" s="6">
        <f>'Data Sheet'!K27</f>
        <v>395</v>
      </c>
      <c r="L9" s="6">
        <f>SUM(Quarters!H9:K9)</f>
        <v>395</v>
      </c>
      <c r="M9" s="6">
        <f>+$L9</f>
        <v>395</v>
      </c>
      <c r="N9" s="6">
        <f>+$L9</f>
        <v>395</v>
      </c>
    </row>
    <row r="10" spans="1:14" x14ac:dyDescent="0.3">
      <c r="A10" t="s">
        <v>12</v>
      </c>
      <c r="B10" s="6">
        <f>'Data Sheet'!B28</f>
        <v>6026</v>
      </c>
      <c r="C10" s="6">
        <f>'Data Sheet'!C28</f>
        <v>6467</v>
      </c>
      <c r="D10" s="6">
        <f>'Data Sheet'!D28</f>
        <v>7306</v>
      </c>
      <c r="E10" s="6">
        <f>'Data Sheet'!E28</f>
        <v>8604</v>
      </c>
      <c r="F10" s="6">
        <f>'Data Sheet'!F28</f>
        <v>9165</v>
      </c>
      <c r="G10" s="6">
        <f>'Data Sheet'!G28</f>
        <v>10605</v>
      </c>
      <c r="H10" s="6">
        <f>'Data Sheet'!H28</f>
        <v>11879</v>
      </c>
      <c r="I10" s="6">
        <f>'Data Sheet'!I28</f>
        <v>13344</v>
      </c>
      <c r="J10" s="6">
        <f>'Data Sheet'!J28</f>
        <v>13926</v>
      </c>
      <c r="K10" s="6">
        <f>'Data Sheet'!K28</f>
        <v>14415</v>
      </c>
      <c r="L10" s="6">
        <f>SUM(Quarters!H10:K10)</f>
        <v>14415</v>
      </c>
      <c r="M10" s="6">
        <f>M6+M7-SUM(M8:M9)</f>
        <v>14040.56672188974</v>
      </c>
      <c r="N10" s="6">
        <f>N6+N7-SUM(N8:N9)</f>
        <v>13006.28093866111</v>
      </c>
    </row>
    <row r="11" spans="1:14" x14ac:dyDescent="0.3">
      <c r="A11" t="s">
        <v>13</v>
      </c>
      <c r="B11" s="6">
        <f>'Data Sheet'!B29</f>
        <v>1875</v>
      </c>
      <c r="C11" s="6">
        <f>'Data Sheet'!C29</f>
        <v>1977</v>
      </c>
      <c r="D11" s="6">
        <f>'Data Sheet'!D29</f>
        <v>2079</v>
      </c>
      <c r="E11" s="6">
        <f>'Data Sheet'!E29</f>
        <v>2544</v>
      </c>
      <c r="F11" s="6">
        <f>'Data Sheet'!F29</f>
        <v>2409</v>
      </c>
      <c r="G11" s="6">
        <f>'Data Sheet'!G29</f>
        <v>2606</v>
      </c>
      <c r="H11" s="6">
        <f>'Data Sheet'!H29</f>
        <v>2987</v>
      </c>
      <c r="I11" s="6">
        <f>'Data Sheet'!I29</f>
        <v>3201</v>
      </c>
      <c r="J11" s="6">
        <f>'Data Sheet'!J29</f>
        <v>3644</v>
      </c>
      <c r="K11" s="6">
        <f>'Data Sheet'!K29</f>
        <v>3744</v>
      </c>
      <c r="L11" s="6">
        <f>SUM(Quarters!H11:K11)</f>
        <v>3744</v>
      </c>
      <c r="M11" s="7">
        <f>IF($L10&gt;0,$L11/$L10,0)</f>
        <v>0.25972944849115503</v>
      </c>
      <c r="N11" s="7">
        <f>IF($L10&gt;0,$L11/$L10,0)</f>
        <v>0.25972944849115503</v>
      </c>
    </row>
    <row r="12" spans="1:14" s="2" customFormat="1" x14ac:dyDescent="0.3">
      <c r="A12" s="2" t="s">
        <v>14</v>
      </c>
      <c r="B12" s="1">
        <f>'Data Sheet'!B30</f>
        <v>4151</v>
      </c>
      <c r="C12" s="1">
        <f>'Data Sheet'!C30</f>
        <v>4476</v>
      </c>
      <c r="D12" s="1">
        <f>'Data Sheet'!D30</f>
        <v>5214</v>
      </c>
      <c r="E12" s="1">
        <f>'Data Sheet'!E30</f>
        <v>6054</v>
      </c>
      <c r="F12" s="1">
        <f>'Data Sheet'!F30</f>
        <v>6748</v>
      </c>
      <c r="G12" s="1">
        <f>'Data Sheet'!G30</f>
        <v>7995</v>
      </c>
      <c r="H12" s="1">
        <f>'Data Sheet'!H30</f>
        <v>8879</v>
      </c>
      <c r="I12" s="1">
        <f>'Data Sheet'!I30</f>
        <v>10120</v>
      </c>
      <c r="J12" s="1">
        <f>'Data Sheet'!J30</f>
        <v>10277</v>
      </c>
      <c r="K12" s="1">
        <f>'Data Sheet'!K30</f>
        <v>10649</v>
      </c>
      <c r="L12" s="1">
        <f>SUM(Quarters!H12:K12)</f>
        <v>10649</v>
      </c>
      <c r="M12" s="1">
        <f>M10-M11*M10</f>
        <v>10393.818070710053</v>
      </c>
      <c r="N12" s="1">
        <f>N10-N11*N10</f>
        <v>9628.1667635416379</v>
      </c>
    </row>
    <row r="13" spans="1:14" x14ac:dyDescent="0.3">
      <c r="A13" t="s">
        <v>57</v>
      </c>
      <c r="B13" s="6">
        <f>IF('Data Sheet'!B93&gt;0,B12/'Data Sheet'!B93,0)</f>
        <v>19.182956698553539</v>
      </c>
      <c r="C13" s="6">
        <f>IF('Data Sheet'!C93&gt;0,C12/'Data Sheet'!C93,0)</f>
        <v>20.681051610220393</v>
      </c>
      <c r="D13" s="6">
        <f>IF('Data Sheet'!D93&gt;0,D12/'Data Sheet'!D93,0)</f>
        <v>24.088704088704091</v>
      </c>
      <c r="E13" s="6">
        <f>IF('Data Sheet'!E93&gt;0,E12/'Data Sheet'!E93,0)</f>
        <v>27.966923823162563</v>
      </c>
      <c r="F13" s="6">
        <f>IF('Data Sheet'!F93&gt;0,F12/'Data Sheet'!F93,0)</f>
        <v>31.171470805617147</v>
      </c>
      <c r="G13" s="6">
        <f>IF('Data Sheet'!G93&gt;0,G12/'Data Sheet'!G93,0)</f>
        <v>34.027068437180795</v>
      </c>
      <c r="H13" s="6">
        <f>IF('Data Sheet'!H93&gt;0,H12/'Data Sheet'!H93,0)</f>
        <v>37.789410963568265</v>
      </c>
      <c r="I13" s="6">
        <f>IF('Data Sheet'!I93&gt;0,I12/'Data Sheet'!I93,0)</f>
        <v>43.071161048689135</v>
      </c>
      <c r="J13" s="6">
        <f>IF('Data Sheet'!J93&gt;0,J12/'Data Sheet'!J93,0)</f>
        <v>43.739359891045282</v>
      </c>
      <c r="K13" s="6">
        <f>IF('Data Sheet'!K93&gt;0,K12/'Data Sheet'!K93,0)</f>
        <v>45.32260810350698</v>
      </c>
      <c r="L13" s="6">
        <f>IF('Data Sheet'!$B6&gt;0,'Profit &amp; Loss'!L12/'Data Sheet'!$B6,0)</f>
        <v>45.292592506272804</v>
      </c>
      <c r="M13" s="6">
        <f>IF('Data Sheet'!$B6&gt;0,'Profit &amp; Loss'!M12/'Data Sheet'!$B6,0)</f>
        <v>44.207246357498825</v>
      </c>
      <c r="N13" s="6">
        <f>IF('Data Sheet'!$B6&gt;0,'Profit &amp; Loss'!N12/'Data Sheet'!$B6,0)</f>
        <v>40.950759113863356</v>
      </c>
    </row>
    <row r="14" spans="1:14" x14ac:dyDescent="0.3">
      <c r="A14" t="s">
        <v>16</v>
      </c>
      <c r="B14" s="6">
        <f>IF(B15&gt;0,B15/B13,"")</f>
        <v>45.326693567814978</v>
      </c>
      <c r="C14" s="6">
        <f t="shared" ref="C14:K14" si="2">IF(C15&gt;0,C15/C13,"")</f>
        <v>44.086249441465597</v>
      </c>
      <c r="D14" s="6">
        <f t="shared" si="2"/>
        <v>55.351670023014954</v>
      </c>
      <c r="E14" s="6">
        <f t="shared" si="2"/>
        <v>61.029236207466134</v>
      </c>
      <c r="F14" s="6">
        <f t="shared" si="2"/>
        <v>73.737296976882035</v>
      </c>
      <c r="G14" s="6">
        <f t="shared" si="2"/>
        <v>71.457816135084428</v>
      </c>
      <c r="H14" s="6">
        <f t="shared" si="2"/>
        <v>54.212276607726103</v>
      </c>
      <c r="I14" s="6">
        <f t="shared" si="2"/>
        <v>59.444647826086957</v>
      </c>
      <c r="J14" s="6">
        <f t="shared" si="2"/>
        <v>51.769161817651067</v>
      </c>
      <c r="K14" s="6">
        <f t="shared" si="2"/>
        <v>49.839364822988074</v>
      </c>
      <c r="L14" s="6">
        <f t="shared" ref="L14" si="3">IF(L13&gt;0,L15/L13,0)</f>
        <v>51.412380505211758</v>
      </c>
      <c r="M14" s="6">
        <f>M25</f>
        <v>53.116388742984462</v>
      </c>
      <c r="N14" s="6">
        <f>N25</f>
        <v>51.412380505211758</v>
      </c>
    </row>
    <row r="15" spans="1:14" s="2" customFormat="1" x14ac:dyDescent="0.3">
      <c r="A15" s="2" t="s">
        <v>58</v>
      </c>
      <c r="B15" s="1">
        <f>'Data Sheet'!B90</f>
        <v>869.5</v>
      </c>
      <c r="C15" s="1">
        <f>'Data Sheet'!C90</f>
        <v>911.75</v>
      </c>
      <c r="D15" s="1">
        <f>'Data Sheet'!D90</f>
        <v>1333.35</v>
      </c>
      <c r="E15" s="1">
        <f>'Data Sheet'!E90</f>
        <v>1706.8</v>
      </c>
      <c r="F15" s="1">
        <f>'Data Sheet'!F90</f>
        <v>2298.5</v>
      </c>
      <c r="G15" s="1">
        <f>'Data Sheet'!G90</f>
        <v>2431.5</v>
      </c>
      <c r="H15" s="1">
        <f>'Data Sheet'!H90</f>
        <v>2048.65</v>
      </c>
      <c r="I15" s="1">
        <f>'Data Sheet'!I90</f>
        <v>2560.35</v>
      </c>
      <c r="J15" s="1">
        <f>'Data Sheet'!J90</f>
        <v>2264.35</v>
      </c>
      <c r="K15" s="1">
        <f>'Data Sheet'!K90</f>
        <v>2258.85</v>
      </c>
      <c r="L15" s="1">
        <f>'Data Sheet'!B8</f>
        <v>2328.6</v>
      </c>
      <c r="M15" s="8">
        <f>M13*M14</f>
        <v>2348.1292827817915</v>
      </c>
      <c r="N15" s="9">
        <f>N13*N14</f>
        <v>2105.3760095392113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0.8325704649482053</v>
      </c>
      <c r="C18" s="5">
        <f>IF('Data Sheet'!C30&gt;0, 'Data Sheet'!C31/'Data Sheet'!C30, 0)</f>
        <v>0.82037533512064342</v>
      </c>
      <c r="D18" s="5">
        <f>IF('Data Sheet'!D30&gt;0, 'Data Sheet'!D31/'Data Sheet'!D30, 0)</f>
        <v>0.8285385500575374</v>
      </c>
      <c r="E18" s="5">
        <f>IF('Data Sheet'!E30&gt;0, 'Data Sheet'!E31/'Data Sheet'!E30, 0)</f>
        <v>0.78493557978196238</v>
      </c>
      <c r="F18" s="5">
        <f>IF('Data Sheet'!F30&gt;0, 'Data Sheet'!F31/'Data Sheet'!F30, 0)</f>
        <v>0.80023710729104924</v>
      </c>
      <c r="G18" s="5">
        <f>IF('Data Sheet'!G30&gt;0, 'Data Sheet'!G31/'Data Sheet'!G30, 0)</f>
        <v>1.1904315196998123</v>
      </c>
      <c r="H18" s="5">
        <f>IF('Data Sheet'!H30&gt;0, 'Data Sheet'!H31/'Data Sheet'!H30, 0)</f>
        <v>0.89987611217479446</v>
      </c>
      <c r="I18" s="5">
        <f>IF('Data Sheet'!I30&gt;0, 'Data Sheet'!I31/'Data Sheet'!I30, 0)</f>
        <v>0.90563241106719372</v>
      </c>
      <c r="J18" s="5">
        <f>IF('Data Sheet'!J30&gt;0, 'Data Sheet'!J31/'Data Sheet'!J30, 0)</f>
        <v>0.96039700301644448</v>
      </c>
      <c r="K18" s="5">
        <f>IF('Data Sheet'!K30&gt;0, 'Data Sheet'!K31/'Data Sheet'!K30, 0)</f>
        <v>1.1695933890506152</v>
      </c>
    </row>
    <row r="19" spans="1:14" x14ac:dyDescent="0.3">
      <c r="A19" t="s">
        <v>18</v>
      </c>
      <c r="B19" s="5">
        <f t="shared" ref="B19:L19" si="4">IF(B6&gt;0,B6/B4,0)</f>
        <v>0.18362020754365252</v>
      </c>
      <c r="C19" s="5">
        <f t="shared" ref="C19:K19" si="5">IF(C6&gt;0,C6/C4,0)</f>
        <v>0.1908208190097099</v>
      </c>
      <c r="D19" s="5">
        <f t="shared" si="5"/>
        <v>0.21097200731467156</v>
      </c>
      <c r="E19" s="5">
        <f t="shared" si="5"/>
        <v>0.2258967183922666</v>
      </c>
      <c r="F19" s="5">
        <f t="shared" si="5"/>
        <v>0.24786969308498605</v>
      </c>
      <c r="G19" s="5">
        <f t="shared" si="5"/>
        <v>0.24721442544866887</v>
      </c>
      <c r="H19" s="5">
        <f t="shared" si="5"/>
        <v>0.24514738969606834</v>
      </c>
      <c r="I19" s="5">
        <f t="shared" si="5"/>
        <v>0.23352591614394189</v>
      </c>
      <c r="J19" s="5">
        <f t="shared" si="5"/>
        <v>0.23683275171255008</v>
      </c>
      <c r="K19" s="5">
        <f t="shared" si="5"/>
        <v>0.23515153435465216</v>
      </c>
      <c r="L19" s="5">
        <f t="shared" si="4"/>
        <v>0.23513569176660698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>
        <f>IF(B4=0,"",POWER($K4/B4,1/9)-1)</f>
        <v>7.7707146164861518E-2</v>
      </c>
      <c r="I23" s="5">
        <f>IF(D4=0,"",POWER($K4/D4,1/7)-1)</f>
        <v>8.5495200164738439E-2</v>
      </c>
      <c r="J23" s="5">
        <f>IF(F4=0,"",POWER($K4/F4,1/5)-1)</f>
        <v>9.6718749336330845E-2</v>
      </c>
      <c r="K23" s="5">
        <f>IF(H4=0,"",POWER($K4/H4, 1/3)-1)</f>
        <v>6.3703283859108728E-2</v>
      </c>
      <c r="L23" s="5">
        <f>IF(ISERROR(MAX(IF(J4=0,"",(K4-J4)/J4),IF(K4=0,"",(L4-K4)/K4))),"",MAX(IF(J4=0,"",(K4-J4)/J4),IF(K4=0,"",(L4-K4)/K4)))</f>
        <v>1.9791262763344964E-2</v>
      </c>
      <c r="M23" s="16">
        <f>MAX(K23:L23)</f>
        <v>6.3703283859108728E-2</v>
      </c>
      <c r="N23" s="16">
        <f>MIN(H23:L23)</f>
        <v>1.9791262763344964E-2</v>
      </c>
    </row>
    <row r="24" spans="1:14" x14ac:dyDescent="0.3">
      <c r="G24" t="s">
        <v>18</v>
      </c>
      <c r="H24" s="5">
        <f>IF(SUM(B4:$K$4)=0,"",SUMPRODUCT(B19:$K$19,B4:$K$4)/SUM(B4:$K$4))</f>
        <v>0.22924071672934715</v>
      </c>
      <c r="I24" s="5">
        <f>IF(SUM(E4:$K$4)=0,"",SUMPRODUCT(E19:$K$19,E4:$K$4)/SUM(E4:$K$4))</f>
        <v>0.23855460726485869</v>
      </c>
      <c r="J24" s="5">
        <f>IF(SUM(G4:$K$4)=0,"",SUMPRODUCT(G19:$K$19,G4:$K$4)/SUM(G4:$K$4))</f>
        <v>0.23900010874483901</v>
      </c>
      <c r="K24" s="5">
        <f>IF(SUM(I4:$K$4)=0, "", SUMPRODUCT(I19:$K$19,I4:$K$4)/SUM(I4:$K$4))</f>
        <v>0.23518160315091299</v>
      </c>
      <c r="L24" s="5">
        <f>L19</f>
        <v>0.23513569176660698</v>
      </c>
      <c r="M24" s="16">
        <f>MAX(K24:L24)</f>
        <v>0.23518160315091299</v>
      </c>
      <c r="N24" s="16">
        <f>MIN(H24:L24)</f>
        <v>0.22924071672934715</v>
      </c>
    </row>
    <row r="25" spans="1:14" x14ac:dyDescent="0.3">
      <c r="G25" t="s">
        <v>23</v>
      </c>
      <c r="H25" s="6">
        <f>IF(ISERROR(AVERAGEIF(B14:$L14,"&gt;0")),"",AVERAGEIF(B14:$L14,"&gt;0"))</f>
        <v>56.151526721035651</v>
      </c>
      <c r="I25" s="6">
        <f>IF(ISERROR(AVERAGEIF(E14:$L14,"&gt;0")),"",AVERAGEIF(E14:$L14,"&gt;0"))</f>
        <v>59.112772612387076</v>
      </c>
      <c r="J25" s="6">
        <f>IF(ISERROR(AVERAGEIF(G14:$L14,"&gt;0")),"",AVERAGEIF(G14:$L14,"&gt;0"))</f>
        <v>56.355941285791403</v>
      </c>
      <c r="K25" s="6">
        <f>IF(ISERROR(AVERAGEIF(I14:$L14,"&gt;0")),"",AVERAGEIF(I14:$L14,"&gt;0"))</f>
        <v>53.116388742984462</v>
      </c>
      <c r="L25" s="6">
        <f>L14</f>
        <v>51.412380505211758</v>
      </c>
      <c r="M25" s="1">
        <f>MAX(K25:L25)</f>
        <v>53.116388742984462</v>
      </c>
      <c r="N25" s="1">
        <f>MIN(H25:L25)</f>
        <v>51.412380505211758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1" s="2" customFormat="1" x14ac:dyDescent="0.3">
      <c r="A1" s="2" t="str">
        <f>'Profit &amp; Loss'!A1</f>
        <v>HINDUSTAN UNILEVER LTD</v>
      </c>
      <c r="E1" t="str">
        <f>UPDATE</f>
        <v/>
      </c>
      <c r="J1" s="2" t="s">
        <v>1</v>
      </c>
    </row>
    <row r="3" spans="1:11" s="2" customFormat="1" x14ac:dyDescent="0.3">
      <c r="A3" s="11" t="s">
        <v>2</v>
      </c>
      <c r="B3" s="12">
        <f>'Data Sheet'!B41</f>
        <v>44926</v>
      </c>
      <c r="C3" s="12">
        <f>'Data Sheet'!C41</f>
        <v>45016</v>
      </c>
      <c r="D3" s="12">
        <f>'Data Sheet'!D41</f>
        <v>45107</v>
      </c>
      <c r="E3" s="12">
        <f>'Data Sheet'!E41</f>
        <v>45199</v>
      </c>
      <c r="F3" s="12">
        <f>'Data Sheet'!F41</f>
        <v>45291</v>
      </c>
      <c r="G3" s="12">
        <f>'Data Sheet'!G41</f>
        <v>45382</v>
      </c>
      <c r="H3" s="12">
        <f>'Data Sheet'!H41</f>
        <v>45473</v>
      </c>
      <c r="I3" s="12">
        <f>'Data Sheet'!I41</f>
        <v>45565</v>
      </c>
      <c r="J3" s="12">
        <f>'Data Sheet'!J41</f>
        <v>45657</v>
      </c>
      <c r="K3" s="12">
        <f>'Data Sheet'!K41</f>
        <v>45747</v>
      </c>
    </row>
    <row r="4" spans="1:11" s="2" customFormat="1" x14ac:dyDescent="0.3">
      <c r="A4" s="2" t="s">
        <v>6</v>
      </c>
      <c r="B4" s="1">
        <f>'Data Sheet'!B42</f>
        <v>15597</v>
      </c>
      <c r="C4" s="1">
        <f>'Data Sheet'!C42</f>
        <v>15215</v>
      </c>
      <c r="D4" s="1">
        <f>'Data Sheet'!D42</f>
        <v>15496</v>
      </c>
      <c r="E4" s="1">
        <f>'Data Sheet'!E42</f>
        <v>15623</v>
      </c>
      <c r="F4" s="1">
        <f>'Data Sheet'!F42</f>
        <v>15567</v>
      </c>
      <c r="G4" s="1">
        <f>'Data Sheet'!G42</f>
        <v>15210</v>
      </c>
      <c r="H4" s="1">
        <f>'Data Sheet'!H42</f>
        <v>15707</v>
      </c>
      <c r="I4" s="1">
        <f>'Data Sheet'!I42</f>
        <v>15926</v>
      </c>
      <c r="J4" s="1">
        <f>'Data Sheet'!J42</f>
        <v>15818</v>
      </c>
      <c r="K4" s="1">
        <f>'Data Sheet'!K42</f>
        <v>15670</v>
      </c>
    </row>
    <row r="5" spans="1:11" x14ac:dyDescent="0.3">
      <c r="A5" t="s">
        <v>7</v>
      </c>
      <c r="B5" s="6">
        <f>'Data Sheet'!B43</f>
        <v>11903</v>
      </c>
      <c r="C5" s="6">
        <f>'Data Sheet'!C43</f>
        <v>11643</v>
      </c>
      <c r="D5" s="6">
        <f>'Data Sheet'!D43</f>
        <v>11832</v>
      </c>
      <c r="E5" s="6">
        <f>'Data Sheet'!E43</f>
        <v>11828</v>
      </c>
      <c r="F5" s="6">
        <f>'Data Sheet'!F43</f>
        <v>11902</v>
      </c>
      <c r="G5" s="6">
        <f>'Data Sheet'!G43</f>
        <v>11675</v>
      </c>
      <c r="H5" s="6">
        <f>'Data Sheet'!H43</f>
        <v>11965</v>
      </c>
      <c r="I5" s="6">
        <f>'Data Sheet'!I43</f>
        <v>12139</v>
      </c>
      <c r="J5" s="6">
        <f>'Data Sheet'!J43</f>
        <v>12123</v>
      </c>
      <c r="K5" s="6">
        <f>'Data Sheet'!K43</f>
        <v>12052</v>
      </c>
    </row>
    <row r="6" spans="1:11" s="2" customFormat="1" x14ac:dyDescent="0.3">
      <c r="A6" s="2" t="s">
        <v>8</v>
      </c>
      <c r="B6" s="1">
        <f>'Data Sheet'!B50</f>
        <v>3694</v>
      </c>
      <c r="C6" s="1">
        <f>'Data Sheet'!C50</f>
        <v>3572</v>
      </c>
      <c r="D6" s="1">
        <f>'Data Sheet'!D50</f>
        <v>3664</v>
      </c>
      <c r="E6" s="1">
        <f>'Data Sheet'!E50</f>
        <v>3795</v>
      </c>
      <c r="F6" s="1">
        <f>'Data Sheet'!F50</f>
        <v>3665</v>
      </c>
      <c r="G6" s="1">
        <f>'Data Sheet'!G50</f>
        <v>3535</v>
      </c>
      <c r="H6" s="1">
        <f>'Data Sheet'!H50</f>
        <v>3742</v>
      </c>
      <c r="I6" s="1">
        <f>'Data Sheet'!I50</f>
        <v>3787</v>
      </c>
      <c r="J6" s="1">
        <f>'Data Sheet'!J50</f>
        <v>3695</v>
      </c>
      <c r="K6" s="1">
        <f>'Data Sheet'!K50</f>
        <v>3618</v>
      </c>
    </row>
    <row r="7" spans="1:11" x14ac:dyDescent="0.3">
      <c r="A7" t="s">
        <v>9</v>
      </c>
      <c r="B7" s="6">
        <f>'Data Sheet'!B44</f>
        <v>7</v>
      </c>
      <c r="C7" s="6">
        <f>'Data Sheet'!C44</f>
        <v>240</v>
      </c>
      <c r="D7" s="6">
        <f>'Data Sheet'!D44</f>
        <v>146</v>
      </c>
      <c r="E7" s="6">
        <f>'Data Sheet'!E44</f>
        <v>178</v>
      </c>
      <c r="F7" s="6">
        <f>'Data Sheet'!F44</f>
        <v>184</v>
      </c>
      <c r="G7" s="6">
        <f>'Data Sheet'!G44</f>
        <v>309</v>
      </c>
      <c r="H7" s="6">
        <f>'Data Sheet'!H44</f>
        <v>209</v>
      </c>
      <c r="I7" s="6">
        <f>'Data Sheet'!I44</f>
        <v>203</v>
      </c>
      <c r="J7" s="6">
        <f>'Data Sheet'!J44</f>
        <v>740</v>
      </c>
      <c r="K7" s="6">
        <f>'Data Sheet'!K44</f>
        <v>171</v>
      </c>
    </row>
    <row r="8" spans="1:11" x14ac:dyDescent="0.3">
      <c r="A8" t="s">
        <v>10</v>
      </c>
      <c r="B8" s="6">
        <f>'Data Sheet'!B45</f>
        <v>293</v>
      </c>
      <c r="C8" s="6">
        <f>'Data Sheet'!C45</f>
        <v>291</v>
      </c>
      <c r="D8" s="6">
        <f>'Data Sheet'!D45</f>
        <v>286</v>
      </c>
      <c r="E8" s="6">
        <f>'Data Sheet'!E45</f>
        <v>297</v>
      </c>
      <c r="F8" s="6">
        <f>'Data Sheet'!F45</f>
        <v>313</v>
      </c>
      <c r="G8" s="6">
        <f>'Data Sheet'!G45</f>
        <v>320</v>
      </c>
      <c r="H8" s="6">
        <f>'Data Sheet'!H45</f>
        <v>329</v>
      </c>
      <c r="I8" s="6">
        <f>'Data Sheet'!I45</f>
        <v>338</v>
      </c>
      <c r="J8" s="6">
        <f>'Data Sheet'!J45</f>
        <v>341</v>
      </c>
      <c r="K8" s="6">
        <f>'Data Sheet'!K45</f>
        <v>347</v>
      </c>
    </row>
    <row r="9" spans="1:11" x14ac:dyDescent="0.3">
      <c r="A9" t="s">
        <v>11</v>
      </c>
      <c r="B9" s="6">
        <f>'Data Sheet'!B46</f>
        <v>29</v>
      </c>
      <c r="C9" s="6">
        <f>'Data Sheet'!C46</f>
        <v>29</v>
      </c>
      <c r="D9" s="6">
        <f>'Data Sheet'!D46</f>
        <v>50</v>
      </c>
      <c r="E9" s="6">
        <f>'Data Sheet'!E46</f>
        <v>88</v>
      </c>
      <c r="F9" s="6">
        <f>'Data Sheet'!F46</f>
        <v>91</v>
      </c>
      <c r="G9" s="6">
        <f>'Data Sheet'!G46</f>
        <v>105</v>
      </c>
      <c r="H9" s="6">
        <f>'Data Sheet'!H46</f>
        <v>93</v>
      </c>
      <c r="I9" s="6">
        <f>'Data Sheet'!I46</f>
        <v>110</v>
      </c>
      <c r="J9" s="6">
        <f>'Data Sheet'!J46</f>
        <v>112</v>
      </c>
      <c r="K9" s="6">
        <f>'Data Sheet'!K46</f>
        <v>80</v>
      </c>
    </row>
    <row r="10" spans="1:11" x14ac:dyDescent="0.3">
      <c r="A10" t="s">
        <v>12</v>
      </c>
      <c r="B10" s="6">
        <f>'Data Sheet'!B47</f>
        <v>3379</v>
      </c>
      <c r="C10" s="6">
        <f>'Data Sheet'!C47</f>
        <v>3492</v>
      </c>
      <c r="D10" s="6">
        <f>'Data Sheet'!D47</f>
        <v>3474</v>
      </c>
      <c r="E10" s="6">
        <f>'Data Sheet'!E47</f>
        <v>3588</v>
      </c>
      <c r="F10" s="6">
        <f>'Data Sheet'!F47</f>
        <v>3445</v>
      </c>
      <c r="G10" s="6">
        <f>'Data Sheet'!G47</f>
        <v>3419</v>
      </c>
      <c r="H10" s="6">
        <f>'Data Sheet'!H47</f>
        <v>3529</v>
      </c>
      <c r="I10" s="6">
        <f>'Data Sheet'!I47</f>
        <v>3542</v>
      </c>
      <c r="J10" s="6">
        <f>'Data Sheet'!J47</f>
        <v>3982</v>
      </c>
      <c r="K10" s="6">
        <f>'Data Sheet'!K47</f>
        <v>3362</v>
      </c>
    </row>
    <row r="11" spans="1:11" x14ac:dyDescent="0.3">
      <c r="A11" t="s">
        <v>13</v>
      </c>
      <c r="B11" s="6">
        <f>'Data Sheet'!B48</f>
        <v>898</v>
      </c>
      <c r="C11" s="6">
        <f>'Data Sheet'!C48</f>
        <v>891</v>
      </c>
      <c r="D11" s="6">
        <f>'Data Sheet'!D48</f>
        <v>918</v>
      </c>
      <c r="E11" s="6">
        <f>'Data Sheet'!E48</f>
        <v>931</v>
      </c>
      <c r="F11" s="6">
        <f>'Data Sheet'!F48</f>
        <v>937</v>
      </c>
      <c r="G11" s="6">
        <f>'Data Sheet'!G48</f>
        <v>858</v>
      </c>
      <c r="H11" s="6">
        <f>'Data Sheet'!H48</f>
        <v>917</v>
      </c>
      <c r="I11" s="6">
        <f>'Data Sheet'!I48</f>
        <v>947</v>
      </c>
      <c r="J11" s="6">
        <f>'Data Sheet'!J48</f>
        <v>993</v>
      </c>
      <c r="K11" s="6">
        <f>'Data Sheet'!K48</f>
        <v>887</v>
      </c>
    </row>
    <row r="12" spans="1:11" s="2" customFormat="1" x14ac:dyDescent="0.3">
      <c r="A12" s="2" t="s">
        <v>14</v>
      </c>
      <c r="B12" s="1">
        <f>'Data Sheet'!B49</f>
        <v>2474</v>
      </c>
      <c r="C12" s="1">
        <f>'Data Sheet'!C49</f>
        <v>2600</v>
      </c>
      <c r="D12" s="1">
        <f>'Data Sheet'!D49</f>
        <v>2554</v>
      </c>
      <c r="E12" s="1">
        <f>'Data Sheet'!E49</f>
        <v>2656</v>
      </c>
      <c r="F12" s="1">
        <f>'Data Sheet'!F49</f>
        <v>2509</v>
      </c>
      <c r="G12" s="1">
        <f>'Data Sheet'!G49</f>
        <v>2558</v>
      </c>
      <c r="H12" s="1">
        <f>'Data Sheet'!H49</f>
        <v>2610</v>
      </c>
      <c r="I12" s="1">
        <f>'Data Sheet'!I49</f>
        <v>2591</v>
      </c>
      <c r="J12" s="1">
        <f>'Data Sheet'!J49</f>
        <v>2984</v>
      </c>
      <c r="K12" s="1">
        <f>'Data Sheet'!K49</f>
        <v>2464</v>
      </c>
    </row>
    <row r="14" spans="1:11" s="2" customFormat="1" x14ac:dyDescent="0.3">
      <c r="A14" s="2" t="s">
        <v>18</v>
      </c>
      <c r="B14" s="10">
        <f>IF(B4&gt;0,B6/B4,"")</f>
        <v>0.23684041802910816</v>
      </c>
      <c r="C14" s="10">
        <f t="shared" ref="C14:K14" si="0">IF(C4&gt;0,C6/C4,"")</f>
        <v>0.23476832073611567</v>
      </c>
      <c r="D14" s="10">
        <f t="shared" si="0"/>
        <v>0.23644811564274651</v>
      </c>
      <c r="E14" s="10">
        <f t="shared" si="0"/>
        <v>0.24291109261985533</v>
      </c>
      <c r="F14" s="10">
        <f t="shared" si="0"/>
        <v>0.23543393075094751</v>
      </c>
      <c r="G14" s="10">
        <f t="shared" si="0"/>
        <v>0.23241288625904011</v>
      </c>
      <c r="H14" s="10">
        <f t="shared" si="0"/>
        <v>0.23823772840134971</v>
      </c>
      <c r="I14" s="10">
        <f t="shared" si="0"/>
        <v>0.23778726610573905</v>
      </c>
      <c r="J14" s="10">
        <f t="shared" si="0"/>
        <v>0.23359463901883928</v>
      </c>
      <c r="K14" s="10">
        <f t="shared" si="0"/>
        <v>0.23088704530950863</v>
      </c>
    </row>
    <row r="22" s="23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HINDUSTAN UNILEVER LTD</v>
      </c>
      <c r="E1" t="str">
        <f>UPDATE</f>
        <v/>
      </c>
      <c r="G1"/>
      <c r="J1" s="2" t="s">
        <v>1</v>
      </c>
    </row>
    <row r="2" spans="1:11" x14ac:dyDescent="0.3">
      <c r="G2" s="2"/>
      <c r="H2" s="2"/>
    </row>
    <row r="3" spans="1:11" x14ac:dyDescent="0.3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">
      <c r="A4" t="s">
        <v>24</v>
      </c>
      <c r="B4" s="14">
        <f>'Data Sheet'!B57</f>
        <v>216</v>
      </c>
      <c r="C4" s="14">
        <f>'Data Sheet'!C57</f>
        <v>216</v>
      </c>
      <c r="D4" s="14">
        <f>'Data Sheet'!D57</f>
        <v>216</v>
      </c>
      <c r="E4" s="14">
        <f>'Data Sheet'!E57</f>
        <v>216</v>
      </c>
      <c r="F4" s="14">
        <f>'Data Sheet'!F57</f>
        <v>216</v>
      </c>
      <c r="G4" s="14">
        <f>'Data Sheet'!G57</f>
        <v>235</v>
      </c>
      <c r="H4" s="14">
        <f>'Data Sheet'!H57</f>
        <v>235</v>
      </c>
      <c r="I4" s="14">
        <f>'Data Sheet'!I57</f>
        <v>235</v>
      </c>
      <c r="J4" s="14">
        <f>'Data Sheet'!J57</f>
        <v>235</v>
      </c>
      <c r="K4" s="14">
        <f>'Data Sheet'!K57</f>
        <v>235</v>
      </c>
    </row>
    <row r="5" spans="1:11" x14ac:dyDescent="0.3">
      <c r="A5" t="s">
        <v>25</v>
      </c>
      <c r="B5" s="14">
        <f>'Data Sheet'!B58</f>
        <v>6357</v>
      </c>
      <c r="C5" s="14">
        <f>'Data Sheet'!C58</f>
        <v>6528</v>
      </c>
      <c r="D5" s="14">
        <f>'Data Sheet'!D58</f>
        <v>7065</v>
      </c>
      <c r="E5" s="14">
        <f>'Data Sheet'!E58</f>
        <v>7651</v>
      </c>
      <c r="F5" s="14">
        <f>'Data Sheet'!F58</f>
        <v>8013</v>
      </c>
      <c r="G5" s="14">
        <f>'Data Sheet'!G58</f>
        <v>47439</v>
      </c>
      <c r="H5" s="14">
        <f>'Data Sheet'!H58</f>
        <v>48826</v>
      </c>
      <c r="I5" s="14">
        <f>'Data Sheet'!I58</f>
        <v>50069</v>
      </c>
      <c r="J5" s="14">
        <f>'Data Sheet'!J58</f>
        <v>50983</v>
      </c>
      <c r="K5" s="14">
        <f>'Data Sheet'!K58</f>
        <v>49167</v>
      </c>
    </row>
    <row r="6" spans="1:11" x14ac:dyDescent="0.3">
      <c r="A6" t="s">
        <v>71</v>
      </c>
      <c r="B6" s="14">
        <f>'Data Sheet'!B59</f>
        <v>177</v>
      </c>
      <c r="C6" s="14">
        <f>'Data Sheet'!C59</f>
        <v>277</v>
      </c>
      <c r="D6" s="14">
        <f>'Data Sheet'!D59</f>
        <v>0</v>
      </c>
      <c r="E6" s="14">
        <f>'Data Sheet'!E59</f>
        <v>99</v>
      </c>
      <c r="F6" s="14">
        <f>'Data Sheet'!F59</f>
        <v>0</v>
      </c>
      <c r="G6" s="14">
        <f>'Data Sheet'!G59</f>
        <v>0</v>
      </c>
      <c r="H6" s="14">
        <f>'Data Sheet'!H59</f>
        <v>1043</v>
      </c>
      <c r="I6" s="14">
        <f>'Data Sheet'!I59</f>
        <v>1219</v>
      </c>
      <c r="J6" s="14">
        <f>'Data Sheet'!J59</f>
        <v>1484</v>
      </c>
      <c r="K6" s="14">
        <f>'Data Sheet'!K59</f>
        <v>1648</v>
      </c>
    </row>
    <row r="7" spans="1:11" x14ac:dyDescent="0.3">
      <c r="A7" t="s">
        <v>72</v>
      </c>
      <c r="B7" s="14">
        <f>'Data Sheet'!B60</f>
        <v>8043</v>
      </c>
      <c r="C7" s="14">
        <f>'Data Sheet'!C60</f>
        <v>8685</v>
      </c>
      <c r="D7" s="14">
        <f>'Data Sheet'!D60</f>
        <v>10581</v>
      </c>
      <c r="E7" s="14">
        <f>'Data Sheet'!E60</f>
        <v>10663</v>
      </c>
      <c r="F7" s="14">
        <f>'Data Sheet'!F60</f>
        <v>11924</v>
      </c>
      <c r="G7" s="14">
        <f>'Data Sheet'!G60</f>
        <v>21066</v>
      </c>
      <c r="H7" s="14">
        <f>'Data Sheet'!H60</f>
        <v>20402</v>
      </c>
      <c r="I7" s="14">
        <f>'Data Sheet'!I60</f>
        <v>21554</v>
      </c>
      <c r="J7" s="14">
        <f>'Data Sheet'!J60</f>
        <v>25787</v>
      </c>
      <c r="K7" s="14">
        <f>'Data Sheet'!K60</f>
        <v>28813</v>
      </c>
    </row>
    <row r="8" spans="1:11" s="2" customFormat="1" x14ac:dyDescent="0.3">
      <c r="A8" s="2" t="s">
        <v>26</v>
      </c>
      <c r="B8" s="15">
        <f>'Data Sheet'!B61</f>
        <v>14793</v>
      </c>
      <c r="C8" s="15">
        <f>'Data Sheet'!C61</f>
        <v>15706</v>
      </c>
      <c r="D8" s="15">
        <f>'Data Sheet'!D61</f>
        <v>17862</v>
      </c>
      <c r="E8" s="15">
        <f>'Data Sheet'!E61</f>
        <v>18629</v>
      </c>
      <c r="F8" s="15">
        <f>'Data Sheet'!F61</f>
        <v>20153</v>
      </c>
      <c r="G8" s="15">
        <f>'Data Sheet'!G61</f>
        <v>68740</v>
      </c>
      <c r="H8" s="15">
        <f>'Data Sheet'!H61</f>
        <v>70506</v>
      </c>
      <c r="I8" s="15">
        <f>'Data Sheet'!I61</f>
        <v>73077</v>
      </c>
      <c r="J8" s="15">
        <f>'Data Sheet'!J61</f>
        <v>78489</v>
      </c>
      <c r="K8" s="15">
        <f>'Data Sheet'!K61</f>
        <v>79863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27</v>
      </c>
      <c r="B10" s="14">
        <f>'Data Sheet'!B62</f>
        <v>3258</v>
      </c>
      <c r="C10" s="14">
        <f>'Data Sheet'!C62</f>
        <v>4419</v>
      </c>
      <c r="D10" s="14">
        <f>'Data Sheet'!D62</f>
        <v>4528</v>
      </c>
      <c r="E10" s="14">
        <f>'Data Sheet'!E62</f>
        <v>4715</v>
      </c>
      <c r="F10" s="14">
        <f>'Data Sheet'!F62</f>
        <v>5479</v>
      </c>
      <c r="G10" s="14">
        <f>'Data Sheet'!G62</f>
        <v>51443</v>
      </c>
      <c r="H10" s="14">
        <f>'Data Sheet'!H62</f>
        <v>51473</v>
      </c>
      <c r="I10" s="14">
        <f>'Data Sheet'!I62</f>
        <v>52678</v>
      </c>
      <c r="J10" s="14">
        <f>'Data Sheet'!J62</f>
        <v>53744</v>
      </c>
      <c r="K10" s="14">
        <f>'Data Sheet'!K62</f>
        <v>54335</v>
      </c>
    </row>
    <row r="11" spans="1:11" x14ac:dyDescent="0.3">
      <c r="A11" t="s">
        <v>28</v>
      </c>
      <c r="B11" s="14">
        <f>'Data Sheet'!B63</f>
        <v>408</v>
      </c>
      <c r="C11" s="14">
        <f>'Data Sheet'!C63</f>
        <v>229</v>
      </c>
      <c r="D11" s="14">
        <f>'Data Sheet'!D63</f>
        <v>461</v>
      </c>
      <c r="E11" s="14">
        <f>'Data Sheet'!E63</f>
        <v>406</v>
      </c>
      <c r="F11" s="14">
        <f>'Data Sheet'!F63</f>
        <v>597</v>
      </c>
      <c r="G11" s="14">
        <f>'Data Sheet'!G63</f>
        <v>745</v>
      </c>
      <c r="H11" s="14">
        <f>'Data Sheet'!H63</f>
        <v>1313</v>
      </c>
      <c r="I11" s="14">
        <f>'Data Sheet'!I63</f>
        <v>1132</v>
      </c>
      <c r="J11" s="14">
        <f>'Data Sheet'!J63</f>
        <v>1025</v>
      </c>
      <c r="K11" s="14">
        <f>'Data Sheet'!K63</f>
        <v>1009</v>
      </c>
    </row>
    <row r="12" spans="1:11" x14ac:dyDescent="0.3">
      <c r="A12" t="s">
        <v>29</v>
      </c>
      <c r="B12" s="14">
        <f>'Data Sheet'!B64</f>
        <v>2592</v>
      </c>
      <c r="C12" s="14">
        <f>'Data Sheet'!C64</f>
        <v>3794</v>
      </c>
      <c r="D12" s="14">
        <f>'Data Sheet'!D64</f>
        <v>2873</v>
      </c>
      <c r="E12" s="14">
        <f>'Data Sheet'!E64</f>
        <v>2716</v>
      </c>
      <c r="F12" s="14">
        <f>'Data Sheet'!F64</f>
        <v>1255</v>
      </c>
      <c r="G12" s="14">
        <f>'Data Sheet'!G64</f>
        <v>2709</v>
      </c>
      <c r="H12" s="14">
        <f>'Data Sheet'!H64</f>
        <v>3521</v>
      </c>
      <c r="I12" s="14">
        <f>'Data Sheet'!I64</f>
        <v>2882</v>
      </c>
      <c r="J12" s="14">
        <f>'Data Sheet'!J64</f>
        <v>4625</v>
      </c>
      <c r="K12" s="14">
        <f>'Data Sheet'!K64</f>
        <v>3810</v>
      </c>
    </row>
    <row r="13" spans="1:11" x14ac:dyDescent="0.3">
      <c r="A13" t="s">
        <v>73</v>
      </c>
      <c r="B13" s="14">
        <f>'Data Sheet'!B65</f>
        <v>8535</v>
      </c>
      <c r="C13" s="14">
        <f>'Data Sheet'!C65</f>
        <v>7264</v>
      </c>
      <c r="D13" s="14">
        <f>'Data Sheet'!D65</f>
        <v>10000</v>
      </c>
      <c r="E13" s="14">
        <f>'Data Sheet'!E65</f>
        <v>10792</v>
      </c>
      <c r="F13" s="14">
        <f>'Data Sheet'!F65</f>
        <v>12822</v>
      </c>
      <c r="G13" s="14">
        <f>'Data Sheet'!G65</f>
        <v>13843</v>
      </c>
      <c r="H13" s="14">
        <f>'Data Sheet'!H65</f>
        <v>14199</v>
      </c>
      <c r="I13" s="14">
        <f>'Data Sheet'!I65</f>
        <v>16385</v>
      </c>
      <c r="J13" s="14">
        <f>'Data Sheet'!J65</f>
        <v>19095</v>
      </c>
      <c r="K13" s="14">
        <f>'Data Sheet'!K65</f>
        <v>20709</v>
      </c>
    </row>
    <row r="14" spans="1:11" s="2" customFormat="1" x14ac:dyDescent="0.3">
      <c r="A14" s="2" t="s">
        <v>26</v>
      </c>
      <c r="B14" s="14">
        <f>'Data Sheet'!B66</f>
        <v>14793</v>
      </c>
      <c r="C14" s="14">
        <f>'Data Sheet'!C66</f>
        <v>15706</v>
      </c>
      <c r="D14" s="14">
        <f>'Data Sheet'!D66</f>
        <v>17862</v>
      </c>
      <c r="E14" s="14">
        <f>'Data Sheet'!E66</f>
        <v>18629</v>
      </c>
      <c r="F14" s="14">
        <f>'Data Sheet'!F66</f>
        <v>20153</v>
      </c>
      <c r="G14" s="14">
        <f>'Data Sheet'!G66</f>
        <v>68740</v>
      </c>
      <c r="H14" s="14">
        <f>'Data Sheet'!H66</f>
        <v>70506</v>
      </c>
      <c r="I14" s="14">
        <f>'Data Sheet'!I66</f>
        <v>73077</v>
      </c>
      <c r="J14" s="14">
        <f>'Data Sheet'!J66</f>
        <v>78489</v>
      </c>
      <c r="K14" s="14">
        <f>'Data Sheet'!K66</f>
        <v>79863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30</v>
      </c>
      <c r="B16" s="4">
        <f>B13-B7</f>
        <v>492</v>
      </c>
      <c r="C16" s="4">
        <f t="shared" ref="C16:K16" si="0">C13-C7</f>
        <v>-1421</v>
      </c>
      <c r="D16" s="4">
        <f t="shared" si="0"/>
        <v>-581</v>
      </c>
      <c r="E16" s="4">
        <f t="shared" si="0"/>
        <v>129</v>
      </c>
      <c r="F16" s="4">
        <f t="shared" si="0"/>
        <v>898</v>
      </c>
      <c r="G16" s="4">
        <f t="shared" si="0"/>
        <v>-7223</v>
      </c>
      <c r="H16" s="4">
        <f t="shared" si="0"/>
        <v>-6203</v>
      </c>
      <c r="I16" s="4">
        <f t="shared" si="0"/>
        <v>-5169</v>
      </c>
      <c r="J16" s="4">
        <f t="shared" si="0"/>
        <v>-6692</v>
      </c>
      <c r="K16" s="4">
        <f t="shared" si="0"/>
        <v>-8104</v>
      </c>
    </row>
    <row r="17" spans="1:11" x14ac:dyDescent="0.3">
      <c r="A17" t="s">
        <v>44</v>
      </c>
      <c r="B17" s="4">
        <f>'Data Sheet'!B67</f>
        <v>1264</v>
      </c>
      <c r="C17" s="4">
        <f>'Data Sheet'!C67</f>
        <v>1085</v>
      </c>
      <c r="D17" s="4">
        <f>'Data Sheet'!D67</f>
        <v>1310</v>
      </c>
      <c r="E17" s="4">
        <f>'Data Sheet'!E67</f>
        <v>1816</v>
      </c>
      <c r="F17" s="4">
        <f>'Data Sheet'!F67</f>
        <v>1149</v>
      </c>
      <c r="G17" s="4">
        <f>'Data Sheet'!G67</f>
        <v>1758</v>
      </c>
      <c r="H17" s="4">
        <f>'Data Sheet'!H67</f>
        <v>2236</v>
      </c>
      <c r="I17" s="4">
        <f>'Data Sheet'!I67</f>
        <v>3079</v>
      </c>
      <c r="J17" s="4">
        <f>'Data Sheet'!J67</f>
        <v>2997</v>
      </c>
      <c r="K17" s="4">
        <f>'Data Sheet'!K67</f>
        <v>3819</v>
      </c>
    </row>
    <row r="18" spans="1:11" x14ac:dyDescent="0.3">
      <c r="A18" t="s">
        <v>45</v>
      </c>
      <c r="B18" s="4">
        <f>'Data Sheet'!B68</f>
        <v>2726</v>
      </c>
      <c r="C18" s="4">
        <f>'Data Sheet'!C68</f>
        <v>2541</v>
      </c>
      <c r="D18" s="4">
        <f>'Data Sheet'!D68</f>
        <v>2513</v>
      </c>
      <c r="E18" s="4">
        <f>'Data Sheet'!E68</f>
        <v>2574</v>
      </c>
      <c r="F18" s="4">
        <f>'Data Sheet'!F68</f>
        <v>2767</v>
      </c>
      <c r="G18" s="4">
        <f>'Data Sheet'!G68</f>
        <v>3579</v>
      </c>
      <c r="H18" s="4">
        <f>'Data Sheet'!H68</f>
        <v>4096</v>
      </c>
      <c r="I18" s="4">
        <f>'Data Sheet'!I68</f>
        <v>4251</v>
      </c>
      <c r="J18" s="4">
        <f>'Data Sheet'!J68</f>
        <v>4022</v>
      </c>
      <c r="K18" s="4">
        <f>'Data Sheet'!K68</f>
        <v>4415</v>
      </c>
    </row>
    <row r="20" spans="1:11" x14ac:dyDescent="0.3">
      <c r="A20" t="s">
        <v>46</v>
      </c>
      <c r="B20" s="4">
        <f>IF('Profit &amp; Loss'!B4&gt;0,'Balance Sheet'!B17/('Profit &amp; Loss'!B4/365),0)</f>
        <v>14.334182563847635</v>
      </c>
      <c r="C20" s="4">
        <f>IF('Profit &amp; Loss'!C4&gt;0,'Balance Sheet'!C17/('Profit &amp; Loss'!C4/365),0)</f>
        <v>11.942132561365419</v>
      </c>
      <c r="D20" s="4">
        <f>IF('Profit &amp; Loss'!D4&gt;0,'Balance Sheet'!D17/('Profit &amp; Loss'!D4/365),0)</f>
        <v>13.4519623013082</v>
      </c>
      <c r="E20" s="4">
        <f>IF('Profit &amp; Loss'!E4&gt;0,'Balance Sheet'!E17/('Profit &amp; Loss'!E4/365),0)</f>
        <v>16.861867209361485</v>
      </c>
      <c r="F20" s="4">
        <f>IF('Profit &amp; Loss'!F4&gt;0,'Balance Sheet'!F17/('Profit &amp; Loss'!F4/365),0)</f>
        <v>10.541814342809744</v>
      </c>
      <c r="G20" s="4">
        <f>IF('Profit &amp; Loss'!G4&gt;0,'Balance Sheet'!G17/('Profit &amp; Loss'!G4/365),0)</f>
        <v>13.644424598111764</v>
      </c>
      <c r="H20" s="4">
        <f>IF('Profit &amp; Loss'!H4&gt;0,'Balance Sheet'!H17/('Profit &amp; Loss'!H4/365),0)</f>
        <v>15.56152995461999</v>
      </c>
      <c r="I20" s="4">
        <f>IF('Profit &amp; Loss'!I4&gt;0,'Balance Sheet'!I17/('Profit &amp; Loss'!I4/365),0)</f>
        <v>18.551254539451964</v>
      </c>
      <c r="J20" s="4">
        <f>IF('Profit &amp; Loss'!J4&gt;0,'Balance Sheet'!J17/('Profit &amp; Loss'!J4/365),0)</f>
        <v>17.673274525009692</v>
      </c>
      <c r="K20" s="4">
        <f>IF('Profit &amp; Loss'!K4&gt;0,'Balance Sheet'!K17/('Profit &amp; Loss'!K4/365),0)</f>
        <v>22.08353796676225</v>
      </c>
    </row>
    <row r="21" spans="1:11" x14ac:dyDescent="0.3">
      <c r="A21" t="s">
        <v>47</v>
      </c>
      <c r="B21" s="4">
        <f>IF('Balance Sheet'!B18&gt;0,'Profit &amp; Loss'!B4/'Balance Sheet'!B18,0)</f>
        <v>11.807043286867204</v>
      </c>
      <c r="C21" s="4">
        <f>IF('Balance Sheet'!C18&gt;0,'Profit &amp; Loss'!C4/'Balance Sheet'!C18,0)</f>
        <v>13.050767414403778</v>
      </c>
      <c r="D21" s="4">
        <f>IF('Balance Sheet'!D18&gt;0,'Profit &amp; Loss'!D4/'Balance Sheet'!D18,0)</f>
        <v>14.144448865897333</v>
      </c>
      <c r="E21" s="4">
        <f>IF('Balance Sheet'!E18&gt;0,'Profit &amp; Loss'!E4/'Balance Sheet'!E18,0)</f>
        <v>15.271950271950272</v>
      </c>
      <c r="F21" s="4">
        <f>IF('Balance Sheet'!F18&gt;0,'Profit &amp; Loss'!F4/'Balance Sheet'!F18,0)</f>
        <v>14.377665341525118</v>
      </c>
      <c r="G21" s="4">
        <f>IF('Balance Sheet'!G18&gt;0,'Profit &amp; Loss'!G4/'Balance Sheet'!G18,0)</f>
        <v>13.139983235540655</v>
      </c>
      <c r="H21" s="4">
        <f>IF('Balance Sheet'!H18&gt;0,'Profit &amp; Loss'!H4/'Balance Sheet'!H18,0)</f>
        <v>12.80419921875</v>
      </c>
      <c r="I21" s="4">
        <f>IF('Balance Sheet'!I18&gt;0,'Profit &amp; Loss'!I4/'Balance Sheet'!I18,0)</f>
        <v>14.250764525993883</v>
      </c>
      <c r="J21" s="4">
        <f>IF('Balance Sheet'!J18&gt;0,'Profit &amp; Loss'!J4/'Balance Sheet'!J18,0)</f>
        <v>15.389358528095475</v>
      </c>
      <c r="K21" s="4">
        <f>IF('Balance Sheet'!K18&gt;0,'Profit &amp; Loss'!K4/'Balance Sheet'!K18,0)</f>
        <v>14.296942242355605</v>
      </c>
    </row>
    <row r="23" spans="1:11" s="2" customFormat="1" x14ac:dyDescent="0.3">
      <c r="A23" s="2" t="s">
        <v>59</v>
      </c>
      <c r="B23" s="10">
        <f>IF(SUM('Balance Sheet'!B4:B5)&gt;0,'Profit &amp; Loss'!B12/SUM('Balance Sheet'!B4:B5),"")</f>
        <v>0.6315228966986155</v>
      </c>
      <c r="C23" s="10">
        <f>IF(SUM('Balance Sheet'!C4:C5)&gt;0,'Profit &amp; Loss'!C12/SUM('Balance Sheet'!C4:C5),"")</f>
        <v>0.66370106761565839</v>
      </c>
      <c r="D23" s="10">
        <f>IF(SUM('Balance Sheet'!D4:D5)&gt;0,'Profit &amp; Loss'!D12/SUM('Balance Sheet'!D4:D5),"")</f>
        <v>0.71611042439225381</v>
      </c>
      <c r="E23" s="10">
        <f>IF(SUM('Balance Sheet'!E4:E5)&gt;0,'Profit &amp; Loss'!E12/SUM('Balance Sheet'!E4:E5),"")</f>
        <v>0.76954366340409308</v>
      </c>
      <c r="F23" s="10">
        <f>IF(SUM('Balance Sheet'!F4:F5)&gt;0,'Profit &amp; Loss'!F12/SUM('Balance Sheet'!F4:F5),"")</f>
        <v>0.82002673471867782</v>
      </c>
      <c r="G23" s="10">
        <f>IF(SUM('Balance Sheet'!G4:G5)&gt;0,'Profit &amp; Loss'!G12/SUM('Balance Sheet'!G4:G5),"")</f>
        <v>0.16770147250073414</v>
      </c>
      <c r="H23" s="10">
        <f>IF(SUM('Balance Sheet'!H4:H5)&gt;0,'Profit &amp; Loss'!H12/SUM('Balance Sheet'!H4:H5),"")</f>
        <v>0.18097878151688715</v>
      </c>
      <c r="I23" s="10">
        <f>IF(SUM('Balance Sheet'!I4:I5)&gt;0,'Profit &amp; Loss'!I12/SUM('Balance Sheet'!I4:I5),"")</f>
        <v>0.201176844783715</v>
      </c>
      <c r="J23" s="10">
        <f>IF(SUM('Balance Sheet'!J4:J5)&gt;0,'Profit &amp; Loss'!J12/SUM('Balance Sheet'!J4:J5),"")</f>
        <v>0.20065211449099926</v>
      </c>
      <c r="K23" s="10">
        <f>IF(SUM('Balance Sheet'!K4:K5)&gt;0,'Profit &amp; Loss'!K12/SUM('Balance Sheet'!K4:K5),"")</f>
        <v>0.21555807457187967</v>
      </c>
    </row>
    <row r="24" spans="1:11" s="2" customFormat="1" x14ac:dyDescent="0.3">
      <c r="A24" s="2" t="s">
        <v>60</v>
      </c>
      <c r="B24" s="10"/>
      <c r="C24" s="10">
        <f>IF((B4+B5+B6+C4+C5+C6)&gt;0,('Profit &amp; Loss'!C10+'Profit &amp; Loss'!C9)*2/(B4+B5+B6+C4+C5+C6),"")</f>
        <v>0.9443032459516375</v>
      </c>
      <c r="D24" s="10">
        <f>IF((C4+C5+C6+D4+D5+D6)&gt;0,('Profit &amp; Loss'!D10+'Profit &amp; Loss'!D9)*2/(C4+C5+C6+D4+D5+D6),"")</f>
        <v>1.0253111452943644</v>
      </c>
      <c r="E24" s="10">
        <f>IF((D4+D5+D6+E4+E5+E6)&gt;0,('Profit &amp; Loss'!E10+'Profit &amp; Loss'!E9)*2/(D4+D5+D6+E4+E5+E6),"")</f>
        <v>1.1329441857414573</v>
      </c>
      <c r="F24" s="10">
        <f>IF((E4+E5+E6+F4+F5+F6)&gt;0,('Profit &amp; Loss'!F10+'Profit &amp; Loss'!F9)*2/(E4+E5+E6+F4+F5+F6),"")</f>
        <v>1.1464032108675517</v>
      </c>
      <c r="G24" s="10">
        <f>IF((F4+F5+F6+G4+G5+G6)&gt;0,('Profit &amp; Loss'!G10+'Profit &amp; Loss'!G9)*2/(F4+F5+F6+G4+G5+G6),"")</f>
        <v>0.38359300931971452</v>
      </c>
      <c r="H24" s="10">
        <f>IF((G4+G5+G6+H4+H5+H6)&gt;0,('Profit &amp; Loss'!H10+'Profit &amp; Loss'!H9)*2/(G4+G5+G6+H4+H5+H6),"")</f>
        <v>0.2451471701200679</v>
      </c>
      <c r="I24" s="10">
        <f>IF((H4+H5+H6+I4+I5+I6)&gt;0,('Profit &amp; Loss'!I10+'Profit &amp; Loss'!I9)*2/(H4+H5+H6+I4+I5+I6),"")</f>
        <v>0.26485087624351794</v>
      </c>
      <c r="J24" s="10">
        <f>IF((I4+I5+I6+J4+J5+J6)&gt;0,('Profit &amp; Loss'!J10+'Profit &amp; Loss'!J9)*2/(I4+I5+I6+J4+J5+J6),"")</f>
        <v>0.27363876229311584</v>
      </c>
      <c r="K24" s="10">
        <f>IF((J4+J5+J6+K4+K5+K6)&gt;0,('Profit &amp; Loss'!K10+'Profit &amp; Loss'!K9)*2/(J4+J5+J6+K4+K5+K6),"")</f>
        <v>0.28548847251137327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HINDUSTAN UNILEVER LTD</v>
      </c>
      <c r="E1" t="str">
        <f>UPDATE</f>
        <v/>
      </c>
      <c r="F1"/>
      <c r="J1" s="2" t="s">
        <v>1</v>
      </c>
    </row>
    <row r="3" spans="1:11" s="2" customFormat="1" x14ac:dyDescent="0.3">
      <c r="A3" s="11" t="s">
        <v>2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">
      <c r="A4" s="2" t="s">
        <v>32</v>
      </c>
      <c r="B4" s="1">
        <f>'Data Sheet'!B82</f>
        <v>4171</v>
      </c>
      <c r="C4" s="1">
        <f>'Data Sheet'!C82</f>
        <v>5185</v>
      </c>
      <c r="D4" s="1">
        <f>'Data Sheet'!D82</f>
        <v>6059</v>
      </c>
      <c r="E4" s="1">
        <f>'Data Sheet'!E82</f>
        <v>5800</v>
      </c>
      <c r="F4" s="1">
        <f>'Data Sheet'!F82</f>
        <v>7623</v>
      </c>
      <c r="G4" s="1">
        <f>'Data Sheet'!G82</f>
        <v>9163</v>
      </c>
      <c r="H4" s="1">
        <f>'Data Sheet'!H82</f>
        <v>9048</v>
      </c>
      <c r="I4" s="1">
        <f>'Data Sheet'!I82</f>
        <v>9991</v>
      </c>
      <c r="J4" s="1">
        <f>'Data Sheet'!J82</f>
        <v>15469</v>
      </c>
      <c r="K4" s="1">
        <f>'Data Sheet'!K82</f>
        <v>11886</v>
      </c>
    </row>
    <row r="5" spans="1:11" x14ac:dyDescent="0.3">
      <c r="A5" t="s">
        <v>33</v>
      </c>
      <c r="B5" s="6">
        <f>'Data Sheet'!B83</f>
        <v>-282</v>
      </c>
      <c r="C5" s="6">
        <f>'Data Sheet'!C83</f>
        <v>-1173</v>
      </c>
      <c r="D5" s="6">
        <f>'Data Sheet'!D83</f>
        <v>-1063</v>
      </c>
      <c r="E5" s="6">
        <f>'Data Sheet'!E83</f>
        <v>-438</v>
      </c>
      <c r="F5" s="6">
        <f>'Data Sheet'!F83</f>
        <v>1791</v>
      </c>
      <c r="G5" s="6">
        <f>'Data Sheet'!G83</f>
        <v>-1228</v>
      </c>
      <c r="H5" s="6">
        <f>'Data Sheet'!H83</f>
        <v>-1728</v>
      </c>
      <c r="I5" s="6">
        <f>'Data Sheet'!I83</f>
        <v>-1484</v>
      </c>
      <c r="J5" s="6">
        <f>'Data Sheet'!J83</f>
        <v>-5324</v>
      </c>
      <c r="K5" s="6">
        <f>'Data Sheet'!K83</f>
        <v>6473</v>
      </c>
    </row>
    <row r="6" spans="1:11" x14ac:dyDescent="0.3">
      <c r="A6" t="s">
        <v>34</v>
      </c>
      <c r="B6" s="6">
        <f>'Data Sheet'!B84</f>
        <v>-3864</v>
      </c>
      <c r="C6" s="6">
        <f>'Data Sheet'!C84</f>
        <v>-4214</v>
      </c>
      <c r="D6" s="6">
        <f>'Data Sheet'!D84</f>
        <v>-4975</v>
      </c>
      <c r="E6" s="6">
        <f>'Data Sheet'!E84</f>
        <v>-5390</v>
      </c>
      <c r="F6" s="6">
        <f>'Data Sheet'!F84</f>
        <v>-6819</v>
      </c>
      <c r="G6" s="6">
        <f>'Data Sheet'!G84</f>
        <v>-9309</v>
      </c>
      <c r="H6" s="6">
        <f>'Data Sheet'!H84</f>
        <v>-8015</v>
      </c>
      <c r="I6" s="6">
        <f>'Data Sheet'!I84</f>
        <v>-8953</v>
      </c>
      <c r="J6" s="6">
        <f>'Data Sheet'!J84</f>
        <v>-10034</v>
      </c>
      <c r="K6" s="6">
        <f>'Data Sheet'!K84</f>
        <v>-13101</v>
      </c>
    </row>
    <row r="7" spans="1:11" s="2" customFormat="1" x14ac:dyDescent="0.3">
      <c r="A7" s="2" t="s">
        <v>35</v>
      </c>
      <c r="B7" s="1">
        <f>'Data Sheet'!B85</f>
        <v>25</v>
      </c>
      <c r="C7" s="1">
        <f>'Data Sheet'!C85</f>
        <v>-202</v>
      </c>
      <c r="D7" s="1">
        <f>'Data Sheet'!D85</f>
        <v>21</v>
      </c>
      <c r="E7" s="1">
        <f>'Data Sheet'!E85</f>
        <v>-28</v>
      </c>
      <c r="F7" s="1">
        <f>'Data Sheet'!F85</f>
        <v>2595</v>
      </c>
      <c r="G7" s="1">
        <f>'Data Sheet'!G85</f>
        <v>-1374</v>
      </c>
      <c r="H7" s="1">
        <f>'Data Sheet'!H85</f>
        <v>-695</v>
      </c>
      <c r="I7" s="1">
        <f>'Data Sheet'!I85</f>
        <v>-446</v>
      </c>
      <c r="J7" s="1">
        <f>'Data Sheet'!J85</f>
        <v>111</v>
      </c>
      <c r="K7" s="1">
        <f>'Data Sheet'!K85</f>
        <v>5258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2"/>
    <col min="2" max="2" width="10.44140625" customWidth="1"/>
    <col min="3" max="3" width="13.33203125" style="20" customWidth="1"/>
    <col min="6" max="6" width="6.77734375" customWidth="1"/>
  </cols>
  <sheetData>
    <row r="1" spans="1:7" ht="21" x14ac:dyDescent="0.4">
      <c r="A1" s="19" t="s">
        <v>56</v>
      </c>
    </row>
    <row r="3" spans="1:7" x14ac:dyDescent="0.3">
      <c r="A3" s="2" t="s">
        <v>48</v>
      </c>
    </row>
    <row r="4" spans="1:7" x14ac:dyDescent="0.3">
      <c r="B4" t="s">
        <v>90</v>
      </c>
    </row>
    <row r="5" spans="1:7" x14ac:dyDescent="0.3">
      <c r="B5" t="s">
        <v>49</v>
      </c>
    </row>
    <row r="7" spans="1:7" x14ac:dyDescent="0.3">
      <c r="A7" s="2" t="s">
        <v>50</v>
      </c>
    </row>
    <row r="8" spans="1:7" x14ac:dyDescent="0.3">
      <c r="B8" t="s">
        <v>51</v>
      </c>
      <c r="C8" s="21" t="s">
        <v>91</v>
      </c>
    </row>
    <row r="10" spans="1:7" x14ac:dyDescent="0.3">
      <c r="A10" s="2" t="s">
        <v>52</v>
      </c>
    </row>
    <row r="11" spans="1:7" x14ac:dyDescent="0.3">
      <c r="B11" t="s">
        <v>53</v>
      </c>
    </row>
    <row r="14" spans="1:7" x14ac:dyDescent="0.3">
      <c r="A14" s="2" t="s">
        <v>54</v>
      </c>
    </row>
    <row r="15" spans="1:7" x14ac:dyDescent="0.3">
      <c r="B15" t="s">
        <v>55</v>
      </c>
    </row>
    <row r="16" spans="1:7" x14ac:dyDescent="0.3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3F2E7-564D-4989-B203-0595B0659079}">
  <dimension ref="A2:AA104"/>
  <sheetViews>
    <sheetView showGridLines="0" workbookViewId="0">
      <pane ySplit="3" topLeftCell="A5" activePane="bottomLeft" state="frozen"/>
      <selection pane="bottomLeft" activeCell="K7" sqref="K7"/>
    </sheetView>
  </sheetViews>
  <sheetFormatPr defaultRowHeight="14.4" x14ac:dyDescent="0.3"/>
  <cols>
    <col min="1" max="1" width="1.88671875" customWidth="1"/>
    <col min="2" max="2" width="31.44140625" style="20" bestFit="1" customWidth="1"/>
    <col min="3" max="11" width="10.33203125" bestFit="1" customWidth="1"/>
    <col min="12" max="12" width="9.44140625" bestFit="1" customWidth="1"/>
    <col min="13" max="14" width="12" bestFit="1" customWidth="1"/>
    <col min="15" max="15" width="12.6640625" bestFit="1" customWidth="1"/>
    <col min="16" max="16" width="12" bestFit="1" customWidth="1"/>
    <col min="17" max="17" width="12.6640625" bestFit="1" customWidth="1"/>
  </cols>
  <sheetData>
    <row r="2" spans="1:27" x14ac:dyDescent="0.3">
      <c r="B2" s="135" t="str">
        <f>"Historical Financial Statements for "&amp;'Data Sheet'!$B$1</f>
        <v>Historical Financial Statements for HINDUSTAN UNILEVER LTD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</row>
    <row r="3" spans="1:27" x14ac:dyDescent="0.3">
      <c r="B3" s="31" t="s">
        <v>93</v>
      </c>
      <c r="C3" s="65">
        <f>'Data Sheet'!B16</f>
        <v>42460</v>
      </c>
      <c r="D3" s="65">
        <f>'Data Sheet'!C16</f>
        <v>42825</v>
      </c>
      <c r="E3" s="65">
        <f>'Data Sheet'!D16</f>
        <v>43190</v>
      </c>
      <c r="F3" s="65">
        <f>'Data Sheet'!E16</f>
        <v>43555</v>
      </c>
      <c r="G3" s="65">
        <f>'Data Sheet'!F16</f>
        <v>43921</v>
      </c>
      <c r="H3" s="65">
        <f>'Data Sheet'!G16</f>
        <v>44286</v>
      </c>
      <c r="I3" s="65">
        <f>'Data Sheet'!H16</f>
        <v>44651</v>
      </c>
      <c r="J3" s="65">
        <f>'Data Sheet'!I16</f>
        <v>45016</v>
      </c>
      <c r="K3" s="65">
        <f>'Data Sheet'!J16</f>
        <v>45382</v>
      </c>
      <c r="L3" s="65">
        <f>'Data Sheet'!K16</f>
        <v>45747</v>
      </c>
      <c r="M3" s="66">
        <f>'Data Sheet'!K56+365</f>
        <v>46112</v>
      </c>
      <c r="N3" s="66">
        <f>M3+365</f>
        <v>46477</v>
      </c>
      <c r="O3" s="66">
        <f t="shared" ref="O3:Q3" si="0">N3+365</f>
        <v>46842</v>
      </c>
      <c r="P3" s="66">
        <f t="shared" si="0"/>
        <v>47207</v>
      </c>
      <c r="Q3" s="66">
        <f t="shared" si="0"/>
        <v>47572</v>
      </c>
      <c r="R3" s="64"/>
      <c r="S3" s="64"/>
      <c r="T3" s="64"/>
      <c r="U3" s="64"/>
      <c r="V3" s="64"/>
      <c r="W3" s="64"/>
      <c r="X3" s="64"/>
      <c r="Y3" s="64"/>
      <c r="Z3" s="64"/>
      <c r="AA3" s="64"/>
    </row>
    <row r="4" spans="1:27" x14ac:dyDescent="0.3"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27" x14ac:dyDescent="0.3">
      <c r="A5" s="2" t="s">
        <v>95</v>
      </c>
      <c r="B5" s="29" t="s">
        <v>94</v>
      </c>
      <c r="C5" s="26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</row>
    <row r="6" spans="1:27" x14ac:dyDescent="0.3">
      <c r="B6" s="30" t="str">
        <f>'Data Sheet'!A17</f>
        <v>Sales</v>
      </c>
      <c r="C6" s="28">
        <f>'Data Sheet'!B17</f>
        <v>32186</v>
      </c>
      <c r="D6" s="28">
        <f>'Data Sheet'!C17</f>
        <v>33162</v>
      </c>
      <c r="E6" s="28">
        <f>'Data Sheet'!D17</f>
        <v>35545</v>
      </c>
      <c r="F6" s="28">
        <f>'Data Sheet'!E17</f>
        <v>39310</v>
      </c>
      <c r="G6" s="28">
        <f>'Data Sheet'!F17</f>
        <v>39783</v>
      </c>
      <c r="H6" s="28">
        <f>'Data Sheet'!G17</f>
        <v>47028</v>
      </c>
      <c r="I6" s="28">
        <f>'Data Sheet'!H17</f>
        <v>52446</v>
      </c>
      <c r="J6" s="28">
        <f>'Data Sheet'!I17</f>
        <v>60580</v>
      </c>
      <c r="K6" s="28">
        <f>'Data Sheet'!J17</f>
        <v>61896</v>
      </c>
      <c r="L6" s="28">
        <f>'Data Sheet'!K17</f>
        <v>63121</v>
      </c>
      <c r="M6" s="67">
        <f>FORECAST(M$3,$C6:$L6,$C$3:$L$3)</f>
        <v>68216.751150427619</v>
      </c>
      <c r="N6" s="67">
        <f t="shared" ref="N6:Q6" si="1">FORECAST(N$3,$C6:$L6,$C$3:$L$3)</f>
        <v>72161.856775909837</v>
      </c>
      <c r="O6" s="67">
        <f t="shared" si="1"/>
        <v>76106.962401392055</v>
      </c>
      <c r="P6" s="67">
        <f t="shared" si="1"/>
        <v>80052.068026874214</v>
      </c>
      <c r="Q6" s="67">
        <f t="shared" si="1"/>
        <v>83997.173652356432</v>
      </c>
      <c r="S6" s="134">
        <f>((L6/C6)^(1/10))-1</f>
        <v>6.9672144364403499E-2</v>
      </c>
    </row>
    <row r="7" spans="1:27" x14ac:dyDescent="0.3">
      <c r="B7" s="33" t="s">
        <v>22</v>
      </c>
      <c r="C7" s="34" t="s">
        <v>96</v>
      </c>
      <c r="D7" s="34">
        <f>D6/C6-1</f>
        <v>3.03237432424035E-2</v>
      </c>
      <c r="E7" s="34">
        <f t="shared" ref="E7:L7" si="2">E6/D6-1</f>
        <v>7.1859357095470644E-2</v>
      </c>
      <c r="F7" s="34">
        <f>F6/E6-1</f>
        <v>0.1059220706147137</v>
      </c>
      <c r="G7" s="34">
        <f t="shared" si="2"/>
        <v>1.2032561689137689E-2</v>
      </c>
      <c r="H7" s="34">
        <f t="shared" si="2"/>
        <v>0.18211296282331646</v>
      </c>
      <c r="I7" s="34">
        <f t="shared" si="2"/>
        <v>0.11520796121459553</v>
      </c>
      <c r="J7" s="34">
        <f t="shared" si="2"/>
        <v>0.15509285741524614</v>
      </c>
      <c r="K7" s="34">
        <f t="shared" si="2"/>
        <v>2.1723341036645749E-2</v>
      </c>
      <c r="L7" s="34">
        <f t="shared" si="2"/>
        <v>1.9791262763344974E-2</v>
      </c>
      <c r="M7" s="34">
        <f>M6/L6-1</f>
        <v>8.0729886256992511E-2</v>
      </c>
      <c r="N7" s="34">
        <f t="shared" ref="N7" si="3">N6/M6-1</f>
        <v>5.7831918978121566E-2</v>
      </c>
      <c r="O7" s="34">
        <f t="shared" ref="O7" si="4">O6/N6-1</f>
        <v>5.4670234411141605E-2</v>
      </c>
      <c r="P7" s="34">
        <f t="shared" ref="P7" si="5">P6/O6-1</f>
        <v>5.1836330093894212E-2</v>
      </c>
      <c r="Q7" s="34">
        <f t="shared" ref="Q7" si="6">Q6/P6-1</f>
        <v>4.9281745278058287E-2</v>
      </c>
    </row>
    <row r="8" spans="1:27" x14ac:dyDescent="0.3">
      <c r="C8" s="28"/>
      <c r="D8" s="28"/>
      <c r="E8" s="28"/>
      <c r="F8" s="28"/>
      <c r="G8" s="28"/>
      <c r="H8" s="28"/>
      <c r="I8" s="28"/>
      <c r="J8" s="28"/>
      <c r="K8" s="28"/>
      <c r="L8" s="28"/>
      <c r="M8" s="68"/>
      <c r="N8" s="68"/>
      <c r="O8" s="68"/>
      <c r="P8" s="68"/>
      <c r="Q8" s="68"/>
    </row>
    <row r="9" spans="1:27" x14ac:dyDescent="0.3">
      <c r="B9" s="20" t="s">
        <v>97</v>
      </c>
      <c r="C9" s="28">
        <f>SUM('Data Sheet'!B18,'Data Sheet'!B20:B22)-(1*'Data Sheet'!B19)</f>
        <v>18222</v>
      </c>
      <c r="D9" s="28">
        <f>SUM('Data Sheet'!C18,'Data Sheet'!C20:C22)-(1*'Data Sheet'!C19)</f>
        <v>18675</v>
      </c>
      <c r="E9" s="28">
        <f>SUM('Data Sheet'!D18,'Data Sheet'!D20:D22)-(1*'Data Sheet'!D19)</f>
        <v>19314</v>
      </c>
      <c r="F9" s="28">
        <f>SUM('Data Sheet'!E18,'Data Sheet'!E20:E22)-(1*'Data Sheet'!E19)</f>
        <v>21081</v>
      </c>
      <c r="G9" s="28">
        <f>SUM('Data Sheet'!F18,'Data Sheet'!F20:F22)-(1*'Data Sheet'!F19)</f>
        <v>20614</v>
      </c>
      <c r="H9" s="28">
        <f>SUM('Data Sheet'!G18,'Data Sheet'!G20:G22)-(1*'Data Sheet'!G19)</f>
        <v>25301</v>
      </c>
      <c r="I9" s="28">
        <f>SUM('Data Sheet'!H18,'Data Sheet'!H20:H22)-(1*'Data Sheet'!H19)</f>
        <v>29066</v>
      </c>
      <c r="J9" s="28">
        <f>SUM('Data Sheet'!I18,'Data Sheet'!I20:I22)-(1*'Data Sheet'!I19)</f>
        <v>35381</v>
      </c>
      <c r="K9" s="28">
        <f>SUM('Data Sheet'!J18,'Data Sheet'!J20:J22)-(1*'Data Sheet'!J19)</f>
        <v>33651</v>
      </c>
      <c r="L9" s="28">
        <f>SUM('Data Sheet'!K18,'Data Sheet'!K20:K22)-(1*'Data Sheet'!K19)</f>
        <v>34529</v>
      </c>
      <c r="M9" s="67">
        <f>FORECAST(M$3,$C9:$L9,$C$3:$L$3)</f>
        <v>37601.366784747894</v>
      </c>
      <c r="N9" s="67">
        <f t="shared" ref="N9:Q9" si="7">FORECAST(N$3,$C9:$L9,$C$3:$L$3)</f>
        <v>39785.146282150672</v>
      </c>
      <c r="O9" s="67">
        <f t="shared" si="7"/>
        <v>41968.925779553509</v>
      </c>
      <c r="P9" s="67">
        <f t="shared" si="7"/>
        <v>44152.705276956287</v>
      </c>
      <c r="Q9" s="67">
        <f t="shared" si="7"/>
        <v>46336.484774359065</v>
      </c>
    </row>
    <row r="10" spans="1:27" x14ac:dyDescent="0.3"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67"/>
      <c r="N10" s="67"/>
      <c r="O10" s="67"/>
      <c r="P10" s="67"/>
      <c r="Q10" s="67"/>
    </row>
    <row r="11" spans="1:27" x14ac:dyDescent="0.3">
      <c r="B11" s="32" t="s">
        <v>98</v>
      </c>
      <c r="C11" s="60">
        <f>C6-C9</f>
        <v>13964</v>
      </c>
      <c r="D11" s="60">
        <f t="shared" ref="D11:L11" si="8">D6-D9</f>
        <v>14487</v>
      </c>
      <c r="E11" s="60">
        <f t="shared" si="8"/>
        <v>16231</v>
      </c>
      <c r="F11" s="60">
        <f t="shared" si="8"/>
        <v>18229</v>
      </c>
      <c r="G11" s="60">
        <f t="shared" si="8"/>
        <v>19169</v>
      </c>
      <c r="H11" s="60">
        <f t="shared" si="8"/>
        <v>21727</v>
      </c>
      <c r="I11" s="60">
        <f t="shared" si="8"/>
        <v>23380</v>
      </c>
      <c r="J11" s="60">
        <f t="shared" si="8"/>
        <v>25199</v>
      </c>
      <c r="K11" s="60">
        <f t="shared" si="8"/>
        <v>28245</v>
      </c>
      <c r="L11" s="60">
        <f t="shared" si="8"/>
        <v>28592</v>
      </c>
      <c r="M11" s="69">
        <f>FORECAST(M$3,$C11:$L11,$C$3:$L$3)</f>
        <v>30615.384365679696</v>
      </c>
      <c r="N11" s="69">
        <f t="shared" ref="N11:Q11" si="9">FORECAST(N$3,$C11:$L11,$C$3:$L$3)</f>
        <v>32376.710493759107</v>
      </c>
      <c r="O11" s="69">
        <f t="shared" si="9"/>
        <v>34138.036621838517</v>
      </c>
      <c r="P11" s="69">
        <f t="shared" si="9"/>
        <v>35899.362749917898</v>
      </c>
      <c r="Q11" s="69">
        <f t="shared" si="9"/>
        <v>37660.688877997309</v>
      </c>
    </row>
    <row r="12" spans="1:27" x14ac:dyDescent="0.3">
      <c r="B12" s="35" t="s">
        <v>99</v>
      </c>
      <c r="C12" s="34">
        <f>C11/C6</f>
        <v>0.43385322811160132</v>
      </c>
      <c r="D12" s="34">
        <f t="shared" ref="D12:L12" si="10">D11/D6</f>
        <v>0.43685543694590195</v>
      </c>
      <c r="E12" s="34">
        <f t="shared" si="10"/>
        <v>0.45663243775495849</v>
      </c>
      <c r="F12" s="34">
        <f t="shared" si="10"/>
        <v>0.46372424319511574</v>
      </c>
      <c r="G12" s="34">
        <f t="shared" si="10"/>
        <v>0.48183897644722617</v>
      </c>
      <c r="H12" s="34">
        <f t="shared" si="10"/>
        <v>0.46200136089138388</v>
      </c>
      <c r="I12" s="34">
        <f t="shared" si="10"/>
        <v>0.44579186210578498</v>
      </c>
      <c r="J12" s="34">
        <f t="shared" si="10"/>
        <v>0.41596236381644108</v>
      </c>
      <c r="K12" s="34">
        <f t="shared" si="10"/>
        <v>0.45632997285769678</v>
      </c>
      <c r="L12" s="34">
        <f t="shared" si="10"/>
        <v>0.45297127738787407</v>
      </c>
      <c r="M12" s="34">
        <f t="shared" ref="M12" si="11">M11/M6</f>
        <v>0.44879569679547515</v>
      </c>
      <c r="N12" s="34">
        <f t="shared" ref="N12" si="12">N11/N6</f>
        <v>0.44866792430662056</v>
      </c>
      <c r="O12" s="34">
        <f t="shared" ref="O12" si="13">O11/O6</f>
        <v>0.44855339833158425</v>
      </c>
      <c r="P12" s="34">
        <f t="shared" ref="P12" si="14">P11/P6</f>
        <v>0.4484501604364069</v>
      </c>
      <c r="Q12" s="34">
        <f t="shared" ref="Q12" si="15">Q11/Q6</f>
        <v>0.44835662011516725</v>
      </c>
    </row>
    <row r="13" spans="1:27" x14ac:dyDescent="0.3"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68"/>
      <c r="N13" s="68"/>
      <c r="O13" s="68"/>
      <c r="P13" s="68"/>
      <c r="Q13" s="68"/>
    </row>
    <row r="14" spans="1:27" x14ac:dyDescent="0.3">
      <c r="B14" s="20" t="s">
        <v>100</v>
      </c>
      <c r="C14" s="28">
        <f>SUM('Data Sheet'!B23:B24)</f>
        <v>8054</v>
      </c>
      <c r="D14" s="28">
        <f>SUM('Data Sheet'!C23:C24)</f>
        <v>8159</v>
      </c>
      <c r="E14" s="28">
        <f>SUM('Data Sheet'!D23:D24)</f>
        <v>8732</v>
      </c>
      <c r="F14" s="28">
        <f>SUM('Data Sheet'!E23:E24)</f>
        <v>9349</v>
      </c>
      <c r="G14" s="28">
        <f>SUM('Data Sheet'!F23:F24)</f>
        <v>9308</v>
      </c>
      <c r="H14" s="28">
        <f>SUM('Data Sheet'!G23:G24)</f>
        <v>10101</v>
      </c>
      <c r="I14" s="28">
        <f>SUM('Data Sheet'!H23:H24)</f>
        <v>10523</v>
      </c>
      <c r="J14" s="28">
        <f>SUM('Data Sheet'!I23:I24)</f>
        <v>11052</v>
      </c>
      <c r="K14" s="28">
        <f>SUM('Data Sheet'!J23:J24)</f>
        <v>13586</v>
      </c>
      <c r="L14" s="28">
        <f>SUM('Data Sheet'!K23:K24)</f>
        <v>13749</v>
      </c>
      <c r="M14" s="67">
        <f t="shared" ref="M14:Q29" si="16">FORECAST(M$3,$C14:$L14,$C$3:$L$3)</f>
        <v>13766.516226316147</v>
      </c>
      <c r="N14" s="67">
        <f t="shared" si="16"/>
        <v>14403.447536419888</v>
      </c>
      <c r="O14" s="67">
        <f t="shared" si="16"/>
        <v>15040.378846523643</v>
      </c>
      <c r="P14" s="67">
        <f t="shared" si="16"/>
        <v>15677.310156627384</v>
      </c>
      <c r="Q14" s="67">
        <f t="shared" si="16"/>
        <v>16314.241466731139</v>
      </c>
    </row>
    <row r="15" spans="1:27" x14ac:dyDescent="0.3"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67"/>
      <c r="N15" s="67"/>
      <c r="O15" s="67"/>
      <c r="P15" s="67"/>
      <c r="Q15" s="67"/>
    </row>
    <row r="16" spans="1:27" x14ac:dyDescent="0.3">
      <c r="B16" s="32" t="s">
        <v>101</v>
      </c>
      <c r="C16" s="60">
        <f>C11-C14</f>
        <v>5910</v>
      </c>
      <c r="D16" s="60">
        <f t="shared" ref="D16:L16" si="17">D11-D14</f>
        <v>6328</v>
      </c>
      <c r="E16" s="60">
        <f t="shared" si="17"/>
        <v>7499</v>
      </c>
      <c r="F16" s="60">
        <f t="shared" si="17"/>
        <v>8880</v>
      </c>
      <c r="G16" s="60">
        <f t="shared" si="17"/>
        <v>9861</v>
      </c>
      <c r="H16" s="60">
        <f t="shared" si="17"/>
        <v>11626</v>
      </c>
      <c r="I16" s="60">
        <f t="shared" si="17"/>
        <v>12857</v>
      </c>
      <c r="J16" s="60">
        <f t="shared" si="17"/>
        <v>14147</v>
      </c>
      <c r="K16" s="60">
        <f t="shared" si="17"/>
        <v>14659</v>
      </c>
      <c r="L16" s="60">
        <f t="shared" si="17"/>
        <v>14843</v>
      </c>
      <c r="M16" s="69">
        <f t="shared" si="16"/>
        <v>16848.868139363563</v>
      </c>
      <c r="N16" s="69">
        <f t="shared" si="16"/>
        <v>17973.262957339233</v>
      </c>
      <c r="O16" s="69">
        <f t="shared" si="16"/>
        <v>19097.657775314903</v>
      </c>
      <c r="P16" s="69">
        <f t="shared" si="16"/>
        <v>20222.052593290544</v>
      </c>
      <c r="Q16" s="69">
        <f t="shared" si="16"/>
        <v>21346.447411266214</v>
      </c>
    </row>
    <row r="17" spans="2:17" x14ac:dyDescent="0.3">
      <c r="B17" s="35" t="s">
        <v>102</v>
      </c>
      <c r="C17" s="34">
        <f>C16/C6</f>
        <v>0.18362020754365252</v>
      </c>
      <c r="D17" s="34">
        <f t="shared" ref="D17:L17" si="18">D16/D6</f>
        <v>0.1908208190097099</v>
      </c>
      <c r="E17" s="34">
        <f t="shared" si="18"/>
        <v>0.21097200731467156</v>
      </c>
      <c r="F17" s="34">
        <f t="shared" si="18"/>
        <v>0.2258967183922666</v>
      </c>
      <c r="G17" s="34">
        <f t="shared" si="18"/>
        <v>0.24786969308498605</v>
      </c>
      <c r="H17" s="34">
        <f t="shared" si="18"/>
        <v>0.24721442544866887</v>
      </c>
      <c r="I17" s="34">
        <f t="shared" si="18"/>
        <v>0.24514738969606834</v>
      </c>
      <c r="J17" s="34">
        <f t="shared" si="18"/>
        <v>0.23352591614394189</v>
      </c>
      <c r="K17" s="34">
        <f t="shared" si="18"/>
        <v>0.23683275171255008</v>
      </c>
      <c r="L17" s="34">
        <f t="shared" si="18"/>
        <v>0.23515153435465216</v>
      </c>
      <c r="M17" s="34">
        <f t="shared" ref="M17" si="19">M16/M6</f>
        <v>0.24699018723728747</v>
      </c>
      <c r="N17" s="34">
        <f t="shared" ref="N17" si="20">N16/N6</f>
        <v>0.2490687429669817</v>
      </c>
      <c r="O17" s="34">
        <f t="shared" ref="O17" si="21">O16/O6</f>
        <v>0.25093180929482994</v>
      </c>
      <c r="P17" s="34">
        <f t="shared" ref="P17" si="22">P16/P6</f>
        <v>0.2526112453022677</v>
      </c>
      <c r="Q17" s="34">
        <f t="shared" ref="Q17" si="23">Q16/Q6</f>
        <v>0.25413292475308624</v>
      </c>
    </row>
    <row r="18" spans="2:17" x14ac:dyDescent="0.3"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68"/>
      <c r="N18" s="68"/>
      <c r="O18" s="68"/>
      <c r="P18" s="68"/>
      <c r="Q18" s="68"/>
    </row>
    <row r="19" spans="2:17" x14ac:dyDescent="0.3">
      <c r="B19" s="20" t="s">
        <v>103</v>
      </c>
      <c r="C19" s="28">
        <f>'Data Sheet'!B26</f>
        <v>353</v>
      </c>
      <c r="D19" s="28">
        <f>'Data Sheet'!C26</f>
        <v>432</v>
      </c>
      <c r="E19" s="28">
        <f>'Data Sheet'!D26</f>
        <v>520</v>
      </c>
      <c r="F19" s="28">
        <f>'Data Sheet'!E26</f>
        <v>565</v>
      </c>
      <c r="G19" s="28">
        <f>'Data Sheet'!F26</f>
        <v>1002</v>
      </c>
      <c r="H19" s="28">
        <f>'Data Sheet'!G26</f>
        <v>1074</v>
      </c>
      <c r="I19" s="28">
        <f>'Data Sheet'!H26</f>
        <v>1091</v>
      </c>
      <c r="J19" s="28">
        <f>'Data Sheet'!I26</f>
        <v>1137</v>
      </c>
      <c r="K19" s="28">
        <f>'Data Sheet'!J26</f>
        <v>1216</v>
      </c>
      <c r="L19" s="28">
        <f>'Data Sheet'!K26</f>
        <v>1355</v>
      </c>
      <c r="M19" s="67">
        <f t="shared" si="16"/>
        <v>1515.845545642067</v>
      </c>
      <c r="N19" s="67">
        <f t="shared" si="16"/>
        <v>1632.384164728719</v>
      </c>
      <c r="O19" s="67">
        <f t="shared" si="16"/>
        <v>1748.9227838153693</v>
      </c>
      <c r="P19" s="67">
        <f t="shared" si="16"/>
        <v>1865.4614029020195</v>
      </c>
      <c r="Q19" s="67">
        <f t="shared" si="16"/>
        <v>1982.0000219886697</v>
      </c>
    </row>
    <row r="20" spans="2:17" x14ac:dyDescent="0.3"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67"/>
      <c r="N20" s="67"/>
      <c r="O20" s="67"/>
      <c r="P20" s="67"/>
      <c r="Q20" s="67"/>
    </row>
    <row r="21" spans="2:17" x14ac:dyDescent="0.3">
      <c r="B21" s="32" t="s">
        <v>104</v>
      </c>
      <c r="C21" s="60">
        <f>C16-C19</f>
        <v>5557</v>
      </c>
      <c r="D21" s="60">
        <f t="shared" ref="D21:L21" si="24">D16-D19</f>
        <v>5896</v>
      </c>
      <c r="E21" s="60">
        <f t="shared" si="24"/>
        <v>6979</v>
      </c>
      <c r="F21" s="60">
        <f t="shared" si="24"/>
        <v>8315</v>
      </c>
      <c r="G21" s="60">
        <f t="shared" si="24"/>
        <v>8859</v>
      </c>
      <c r="H21" s="60">
        <f t="shared" si="24"/>
        <v>10552</v>
      </c>
      <c r="I21" s="60">
        <f t="shared" si="24"/>
        <v>11766</v>
      </c>
      <c r="J21" s="60">
        <f t="shared" si="24"/>
        <v>13010</v>
      </c>
      <c r="K21" s="60">
        <f t="shared" si="24"/>
        <v>13443</v>
      </c>
      <c r="L21" s="60">
        <f t="shared" si="24"/>
        <v>13488</v>
      </c>
      <c r="M21" s="69">
        <f t="shared" si="16"/>
        <v>15333.022593721485</v>
      </c>
      <c r="N21" s="69">
        <f t="shared" si="16"/>
        <v>16340.8787926105</v>
      </c>
      <c r="O21" s="69">
        <f t="shared" si="16"/>
        <v>17348.734991499499</v>
      </c>
      <c r="P21" s="69">
        <f t="shared" si="16"/>
        <v>18356.591190388513</v>
      </c>
      <c r="Q21" s="69">
        <f t="shared" si="16"/>
        <v>19364.447389277513</v>
      </c>
    </row>
    <row r="22" spans="2:17" x14ac:dyDescent="0.3">
      <c r="B22" s="35" t="s">
        <v>105</v>
      </c>
      <c r="C22" s="34">
        <f>C21/C6</f>
        <v>0.17265270614552911</v>
      </c>
      <c r="D22" s="34">
        <f t="shared" ref="D22:L22" si="25">D21/D6</f>
        <v>0.17779386044267534</v>
      </c>
      <c r="E22" s="34">
        <f t="shared" si="25"/>
        <v>0.19634266422844282</v>
      </c>
      <c r="F22" s="34">
        <f t="shared" si="25"/>
        <v>0.21152378529636226</v>
      </c>
      <c r="G22" s="34">
        <f t="shared" si="25"/>
        <v>0.22268305557650253</v>
      </c>
      <c r="H22" s="34">
        <f t="shared" si="25"/>
        <v>0.22437696691332823</v>
      </c>
      <c r="I22" s="34">
        <f t="shared" si="25"/>
        <v>0.22434504061320215</v>
      </c>
      <c r="J22" s="34">
        <f t="shared" si="25"/>
        <v>0.21475734565863322</v>
      </c>
      <c r="K22" s="34">
        <f t="shared" si="25"/>
        <v>0.21718689414501746</v>
      </c>
      <c r="L22" s="34">
        <f t="shared" si="25"/>
        <v>0.21368482755342913</v>
      </c>
      <c r="M22" s="34">
        <f t="shared" ref="M22" si="26">M21/M6</f>
        <v>0.22476917084353656</v>
      </c>
      <c r="N22" s="34">
        <f t="shared" ref="N22" si="27">N21/N6</f>
        <v>0.2264475932673847</v>
      </c>
      <c r="O22" s="34">
        <f t="shared" ref="O22" si="28">O21/O6</f>
        <v>0.22795200917363348</v>
      </c>
      <c r="P22" s="34">
        <f t="shared" ref="P22" si="29">P21/P6</f>
        <v>0.22930814459691456</v>
      </c>
      <c r="Q22" s="34">
        <f t="shared" ref="Q22" si="30">Q21/Q6</f>
        <v>0.23053689246047945</v>
      </c>
    </row>
    <row r="23" spans="2:17" x14ac:dyDescent="0.3"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68"/>
      <c r="N23" s="68"/>
      <c r="O23" s="68"/>
      <c r="P23" s="68"/>
      <c r="Q23" s="68"/>
    </row>
    <row r="24" spans="2:17" x14ac:dyDescent="0.3">
      <c r="B24" s="20" t="s">
        <v>11</v>
      </c>
      <c r="C24" s="28">
        <f>'Data Sheet'!B27</f>
        <v>17</v>
      </c>
      <c r="D24" s="28">
        <f>'Data Sheet'!C27</f>
        <v>35</v>
      </c>
      <c r="E24" s="28">
        <f>'Data Sheet'!D27</f>
        <v>26</v>
      </c>
      <c r="F24" s="28">
        <f>'Data Sheet'!E27</f>
        <v>33</v>
      </c>
      <c r="G24" s="28">
        <f>'Data Sheet'!F27</f>
        <v>118</v>
      </c>
      <c r="H24" s="28">
        <f>'Data Sheet'!G27</f>
        <v>117</v>
      </c>
      <c r="I24" s="28">
        <f>'Data Sheet'!H27</f>
        <v>106</v>
      </c>
      <c r="J24" s="28">
        <f>'Data Sheet'!I27</f>
        <v>114</v>
      </c>
      <c r="K24" s="28">
        <f>'Data Sheet'!J27</f>
        <v>334</v>
      </c>
      <c r="L24" s="28">
        <f>'Data Sheet'!K27</f>
        <v>395</v>
      </c>
      <c r="M24" s="67">
        <f t="shared" si="16"/>
        <v>334.61031544282196</v>
      </c>
      <c r="N24" s="67">
        <f t="shared" si="16"/>
        <v>371.88082131061128</v>
      </c>
      <c r="O24" s="67">
        <f t="shared" si="16"/>
        <v>409.15132717840152</v>
      </c>
      <c r="P24" s="67">
        <f t="shared" si="16"/>
        <v>446.42183304619175</v>
      </c>
      <c r="Q24" s="67">
        <f t="shared" si="16"/>
        <v>483.69233891398198</v>
      </c>
    </row>
    <row r="25" spans="2:17" x14ac:dyDescent="0.3"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67"/>
      <c r="N25" s="67"/>
      <c r="O25" s="67"/>
      <c r="P25" s="67"/>
      <c r="Q25" s="67"/>
    </row>
    <row r="26" spans="2:17" x14ac:dyDescent="0.3">
      <c r="B26" s="32" t="s">
        <v>106</v>
      </c>
      <c r="C26" s="60">
        <f>C21-C24</f>
        <v>5540</v>
      </c>
      <c r="D26" s="60">
        <f t="shared" ref="D26:L26" si="31">D21-D24</f>
        <v>5861</v>
      </c>
      <c r="E26" s="60">
        <f t="shared" si="31"/>
        <v>6953</v>
      </c>
      <c r="F26" s="60">
        <f t="shared" si="31"/>
        <v>8282</v>
      </c>
      <c r="G26" s="60">
        <f t="shared" si="31"/>
        <v>8741</v>
      </c>
      <c r="H26" s="60">
        <f t="shared" si="31"/>
        <v>10435</v>
      </c>
      <c r="I26" s="60">
        <f t="shared" si="31"/>
        <v>11660</v>
      </c>
      <c r="J26" s="60">
        <f t="shared" si="31"/>
        <v>12896</v>
      </c>
      <c r="K26" s="60">
        <f t="shared" si="31"/>
        <v>13109</v>
      </c>
      <c r="L26" s="60">
        <f t="shared" si="31"/>
        <v>13093</v>
      </c>
      <c r="M26" s="69">
        <f t="shared" si="16"/>
        <v>14998.412278278673</v>
      </c>
      <c r="N26" s="69">
        <f t="shared" si="16"/>
        <v>15968.99797129989</v>
      </c>
      <c r="O26" s="69">
        <f t="shared" si="16"/>
        <v>16939.583664321108</v>
      </c>
      <c r="P26" s="69">
        <f t="shared" si="16"/>
        <v>17910.169357342325</v>
      </c>
      <c r="Q26" s="69">
        <f t="shared" si="16"/>
        <v>18880.755050363543</v>
      </c>
    </row>
    <row r="27" spans="2:17" x14ac:dyDescent="0.3">
      <c r="B27" s="35" t="s">
        <v>109</v>
      </c>
      <c r="C27" s="34">
        <f>C26/C6</f>
        <v>0.17212452619151183</v>
      </c>
      <c r="D27" s="34">
        <f t="shared" ref="D27:L27" si="32">D26/D6</f>
        <v>0.17673843555877208</v>
      </c>
      <c r="E27" s="34">
        <f t="shared" si="32"/>
        <v>0.19561119707413138</v>
      </c>
      <c r="F27" s="34">
        <f t="shared" si="32"/>
        <v>0.21068430424828288</v>
      </c>
      <c r="G27" s="34">
        <f t="shared" si="32"/>
        <v>0.21971696453258929</v>
      </c>
      <c r="H27" s="34">
        <f t="shared" si="32"/>
        <v>0.22188908735221571</v>
      </c>
      <c r="I27" s="34">
        <f t="shared" si="32"/>
        <v>0.22232391412119132</v>
      </c>
      <c r="J27" s="34">
        <f t="shared" si="32"/>
        <v>0.21287553648068669</v>
      </c>
      <c r="K27" s="34">
        <f t="shared" si="32"/>
        <v>0.2117907457670932</v>
      </c>
      <c r="L27" s="34">
        <f t="shared" si="32"/>
        <v>0.20742700527558183</v>
      </c>
      <c r="M27" s="34">
        <f t="shared" ref="M27" si="33">M26/M6</f>
        <v>0.21986406601517924</v>
      </c>
      <c r="N27" s="34">
        <f t="shared" ref="N27" si="34">N26/N6</f>
        <v>0.22129416681848607</v>
      </c>
      <c r="O27" s="34">
        <f t="shared" ref="O27" si="35">O26/O6</f>
        <v>0.22257600526717736</v>
      </c>
      <c r="P27" s="34">
        <f t="shared" ref="P27" si="36">P26/P6</f>
        <v>0.22373150124403679</v>
      </c>
      <c r="Q27" s="34">
        <f t="shared" ref="Q27" si="37">Q26/Q6</f>
        <v>0.22477845657648349</v>
      </c>
    </row>
    <row r="28" spans="2:17" x14ac:dyDescent="0.3"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68"/>
      <c r="N28" s="68"/>
      <c r="O28" s="68"/>
      <c r="P28" s="68"/>
      <c r="Q28" s="68"/>
    </row>
    <row r="29" spans="2:17" x14ac:dyDescent="0.3">
      <c r="B29" s="20" t="s">
        <v>13</v>
      </c>
      <c r="C29" s="28">
        <f>'Data Sheet'!B29</f>
        <v>1875</v>
      </c>
      <c r="D29" s="28">
        <f>'Data Sheet'!C29</f>
        <v>1977</v>
      </c>
      <c r="E29" s="28">
        <f>'Data Sheet'!D29</f>
        <v>2079</v>
      </c>
      <c r="F29" s="28">
        <f>'Data Sheet'!E29</f>
        <v>2544</v>
      </c>
      <c r="G29" s="28">
        <f>'Data Sheet'!F29</f>
        <v>2409</v>
      </c>
      <c r="H29" s="28">
        <f>'Data Sheet'!G29</f>
        <v>2606</v>
      </c>
      <c r="I29" s="28">
        <f>'Data Sheet'!H29</f>
        <v>2987</v>
      </c>
      <c r="J29" s="28">
        <f>'Data Sheet'!I29</f>
        <v>3201</v>
      </c>
      <c r="K29" s="28">
        <f>'Data Sheet'!J29</f>
        <v>3644</v>
      </c>
      <c r="L29" s="28">
        <f>'Data Sheet'!K29</f>
        <v>3744</v>
      </c>
      <c r="M29" s="67">
        <f t="shared" si="16"/>
        <v>3894.0558728006654</v>
      </c>
      <c r="N29" s="67">
        <f t="shared" si="16"/>
        <v>4109.8279610031095</v>
      </c>
      <c r="O29" s="67">
        <f t="shared" si="16"/>
        <v>4325.60004920555</v>
      </c>
      <c r="P29" s="67">
        <f t="shared" si="16"/>
        <v>4541.3721374079905</v>
      </c>
      <c r="Q29" s="67">
        <f t="shared" si="16"/>
        <v>4757.1442256104347</v>
      </c>
    </row>
    <row r="30" spans="2:17" x14ac:dyDescent="0.3">
      <c r="C30" s="28"/>
      <c r="D30" s="28"/>
      <c r="E30" s="28"/>
      <c r="F30" s="28"/>
      <c r="G30" s="28"/>
      <c r="H30" s="28"/>
      <c r="I30" s="28"/>
      <c r="J30" s="28"/>
      <c r="K30" s="28"/>
      <c r="L30" s="94"/>
      <c r="M30" s="67"/>
      <c r="N30" s="67"/>
      <c r="O30" s="67"/>
      <c r="P30" s="67"/>
      <c r="Q30" s="67"/>
    </row>
    <row r="31" spans="2:17" x14ac:dyDescent="0.3">
      <c r="B31" s="32" t="s">
        <v>107</v>
      </c>
      <c r="C31" s="60">
        <f>C26-C29</f>
        <v>3665</v>
      </c>
      <c r="D31" s="60">
        <f t="shared" ref="D31:L31" si="38">D26-D29</f>
        <v>3884</v>
      </c>
      <c r="E31" s="60">
        <f t="shared" si="38"/>
        <v>4874</v>
      </c>
      <c r="F31" s="60">
        <f t="shared" si="38"/>
        <v>5738</v>
      </c>
      <c r="G31" s="60">
        <f t="shared" si="38"/>
        <v>6332</v>
      </c>
      <c r="H31" s="60">
        <f t="shared" si="38"/>
        <v>7829</v>
      </c>
      <c r="I31" s="60">
        <f t="shared" si="38"/>
        <v>8673</v>
      </c>
      <c r="J31" s="60">
        <f t="shared" si="38"/>
        <v>9695</v>
      </c>
      <c r="K31" s="60">
        <f t="shared" si="38"/>
        <v>9465</v>
      </c>
      <c r="L31" s="60">
        <f t="shared" si="38"/>
        <v>9349</v>
      </c>
      <c r="M31" s="69">
        <f t="shared" ref="M31:Q31" si="39">FORECAST(M$3,$C31:$L31,$C$3:$L$3)</f>
        <v>11104.356405478</v>
      </c>
      <c r="N31" s="69">
        <f t="shared" si="39"/>
        <v>11859.170010296773</v>
      </c>
      <c r="O31" s="69">
        <f t="shared" si="39"/>
        <v>12613.983615115547</v>
      </c>
      <c r="P31" s="69">
        <f t="shared" si="39"/>
        <v>13368.79721993432</v>
      </c>
      <c r="Q31" s="69">
        <f t="shared" si="39"/>
        <v>14123.610824753094</v>
      </c>
    </row>
    <row r="32" spans="2:17" x14ac:dyDescent="0.3">
      <c r="B32" s="35" t="s">
        <v>108</v>
      </c>
      <c r="C32" s="34">
        <f t="shared" ref="C32:L32" si="40">C31/C6</f>
        <v>0.11386938420431243</v>
      </c>
      <c r="D32" s="34">
        <f t="shared" si="40"/>
        <v>0.11712200711657922</v>
      </c>
      <c r="E32" s="34">
        <f t="shared" si="40"/>
        <v>0.1371219580813054</v>
      </c>
      <c r="F32" s="34">
        <f t="shared" si="40"/>
        <v>0.14596794708725516</v>
      </c>
      <c r="G32" s="34">
        <f t="shared" si="40"/>
        <v>0.15916346178015736</v>
      </c>
      <c r="H32" s="34">
        <f t="shared" si="40"/>
        <v>0.16647529131581185</v>
      </c>
      <c r="I32" s="34">
        <f t="shared" si="40"/>
        <v>0.16537009495481067</v>
      </c>
      <c r="J32" s="34">
        <f t="shared" si="40"/>
        <v>0.16003631561571477</v>
      </c>
      <c r="K32" s="34">
        <f t="shared" si="40"/>
        <v>0.15291779759596744</v>
      </c>
      <c r="L32" s="34">
        <f t="shared" si="40"/>
        <v>0.14811235563441644</v>
      </c>
      <c r="M32" s="34">
        <f t="shared" ref="M32:Q32" si="41">M31/M6</f>
        <v>0.16278049332767722</v>
      </c>
      <c r="N32" s="34">
        <f t="shared" si="41"/>
        <v>0.16434125367815897</v>
      </c>
      <c r="O32" s="34">
        <f t="shared" si="41"/>
        <v>0.16574020585119065</v>
      </c>
      <c r="P32" s="34">
        <f t="shared" si="41"/>
        <v>0.1670012724149274</v>
      </c>
      <c r="Q32" s="34">
        <f t="shared" si="41"/>
        <v>0.16814388164067559</v>
      </c>
    </row>
    <row r="33" spans="1:17" x14ac:dyDescent="0.3"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spans="1:17" x14ac:dyDescent="0.3">
      <c r="C34" s="25"/>
      <c r="D34" s="25"/>
      <c r="E34" s="25"/>
      <c r="F34" s="25"/>
      <c r="G34" s="25"/>
      <c r="H34" s="25"/>
      <c r="I34" s="25"/>
      <c r="J34" s="25"/>
      <c r="K34" s="25"/>
      <c r="L34" s="25"/>
    </row>
    <row r="35" spans="1:17" x14ac:dyDescent="0.3">
      <c r="A35" s="2" t="s">
        <v>95</v>
      </c>
      <c r="B35" s="29" t="s">
        <v>110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</row>
    <row r="36" spans="1:17" x14ac:dyDescent="0.3">
      <c r="B36" s="30" t="str">
        <f>'Data Sheet'!A57</f>
        <v>Equity Share Capital</v>
      </c>
      <c r="C36" s="63">
        <f>'Data Sheet'!B57</f>
        <v>216</v>
      </c>
      <c r="D36" s="63">
        <f>'Data Sheet'!C57</f>
        <v>216</v>
      </c>
      <c r="E36" s="63">
        <f>'Data Sheet'!D57</f>
        <v>216</v>
      </c>
      <c r="F36" s="63">
        <f>'Data Sheet'!E57</f>
        <v>216</v>
      </c>
      <c r="G36" s="63">
        <f>'Data Sheet'!F57</f>
        <v>216</v>
      </c>
      <c r="H36" s="63">
        <f>'Data Sheet'!G57</f>
        <v>235</v>
      </c>
      <c r="I36" s="63">
        <f>'Data Sheet'!H57</f>
        <v>235</v>
      </c>
      <c r="J36" s="63">
        <f>'Data Sheet'!I57</f>
        <v>235</v>
      </c>
      <c r="K36" s="63">
        <f>'Data Sheet'!J57</f>
        <v>235</v>
      </c>
      <c r="L36" s="63">
        <f>'Data Sheet'!K57</f>
        <v>235</v>
      </c>
      <c r="M36" s="67">
        <f t="shared" ref="M36:Q40" si="42">FORECAST(M$3,$C36:$L36,$C$3:$L$3)</f>
        <v>241.3321762537978</v>
      </c>
      <c r="N36" s="67">
        <f t="shared" si="42"/>
        <v>244.20903408853479</v>
      </c>
      <c r="O36" s="67">
        <f t="shared" si="42"/>
        <v>247.08589192327179</v>
      </c>
      <c r="P36" s="67">
        <f t="shared" si="42"/>
        <v>249.96274975800878</v>
      </c>
      <c r="Q36" s="67">
        <f t="shared" si="42"/>
        <v>252.83960759274578</v>
      </c>
    </row>
    <row r="37" spans="1:17" x14ac:dyDescent="0.3">
      <c r="B37" s="30" t="str">
        <f>'Data Sheet'!A58</f>
        <v>Reserves</v>
      </c>
      <c r="C37" s="63">
        <f>'Data Sheet'!B58</f>
        <v>6357</v>
      </c>
      <c r="D37" s="63">
        <f>'Data Sheet'!C58</f>
        <v>6528</v>
      </c>
      <c r="E37" s="63">
        <f>'Data Sheet'!D58</f>
        <v>7065</v>
      </c>
      <c r="F37" s="63">
        <f>'Data Sheet'!E58</f>
        <v>7651</v>
      </c>
      <c r="G37" s="63">
        <f>'Data Sheet'!F58</f>
        <v>8013</v>
      </c>
      <c r="H37" s="63">
        <f>'Data Sheet'!G58</f>
        <v>47439</v>
      </c>
      <c r="I37" s="63">
        <f>'Data Sheet'!H58</f>
        <v>48826</v>
      </c>
      <c r="J37" s="63">
        <f>'Data Sheet'!I58</f>
        <v>50069</v>
      </c>
      <c r="K37" s="63">
        <f>'Data Sheet'!J58</f>
        <v>50983</v>
      </c>
      <c r="L37" s="63">
        <f>'Data Sheet'!K58</f>
        <v>49167</v>
      </c>
      <c r="M37" s="67">
        <f t="shared" si="42"/>
        <v>64022.055765128927</v>
      </c>
      <c r="N37" s="67">
        <f t="shared" si="42"/>
        <v>70529.485124551458</v>
      </c>
      <c r="O37" s="67">
        <f t="shared" si="42"/>
        <v>77036.914483973989</v>
      </c>
      <c r="P37" s="67">
        <f t="shared" si="42"/>
        <v>83544.34384339652</v>
      </c>
      <c r="Q37" s="67">
        <f t="shared" si="42"/>
        <v>90051.773202819051</v>
      </c>
    </row>
    <row r="38" spans="1:17" x14ac:dyDescent="0.3">
      <c r="B38" s="30" t="str">
        <f>'Data Sheet'!A59</f>
        <v>Borrowings</v>
      </c>
      <c r="C38" s="63">
        <f>'Data Sheet'!B59</f>
        <v>177</v>
      </c>
      <c r="D38" s="63">
        <f>'Data Sheet'!C59</f>
        <v>277</v>
      </c>
      <c r="E38" s="63">
        <f>'Data Sheet'!D59</f>
        <v>0</v>
      </c>
      <c r="F38" s="63">
        <f>'Data Sheet'!E59</f>
        <v>99</v>
      </c>
      <c r="G38" s="63">
        <f>'Data Sheet'!F59</f>
        <v>0</v>
      </c>
      <c r="H38" s="63">
        <f>'Data Sheet'!G59</f>
        <v>0</v>
      </c>
      <c r="I38" s="63">
        <f>'Data Sheet'!H59</f>
        <v>1043</v>
      </c>
      <c r="J38" s="63">
        <f>'Data Sheet'!I59</f>
        <v>1219</v>
      </c>
      <c r="K38" s="63">
        <f>'Data Sheet'!J59</f>
        <v>1484</v>
      </c>
      <c r="L38" s="63">
        <f>'Data Sheet'!K59</f>
        <v>1648</v>
      </c>
      <c r="M38" s="67">
        <f t="shared" si="42"/>
        <v>1615.1426891021692</v>
      </c>
      <c r="N38" s="67">
        <f t="shared" si="42"/>
        <v>1800.5668846128465</v>
      </c>
      <c r="O38" s="67">
        <f t="shared" si="42"/>
        <v>1985.9910801235201</v>
      </c>
      <c r="P38" s="67">
        <f t="shared" si="42"/>
        <v>2171.4152756341973</v>
      </c>
      <c r="Q38" s="67">
        <f t="shared" si="42"/>
        <v>2356.8394711448709</v>
      </c>
    </row>
    <row r="39" spans="1:17" x14ac:dyDescent="0.3">
      <c r="B39" s="30" t="str">
        <f>'Data Sheet'!A60</f>
        <v>Other Liabilities</v>
      </c>
      <c r="C39" s="63">
        <f>'Data Sheet'!B60-'Manual Data'!C41</f>
        <v>2358</v>
      </c>
      <c r="D39" s="63">
        <f>'Data Sheet'!C60-'Manual Data'!D41</f>
        <v>2499</v>
      </c>
      <c r="E39" s="63">
        <f>'Data Sheet'!D60-'Manual Data'!E41</f>
        <v>3411</v>
      </c>
      <c r="F39" s="63">
        <f>'Data Sheet'!E60-'Manual Data'!F41</f>
        <v>3457</v>
      </c>
      <c r="G39" s="63">
        <f>'Data Sheet'!F60-'Manual Data'!G41</f>
        <v>4389</v>
      </c>
      <c r="H39" s="63">
        <f>'Data Sheet'!G60-'Manual Data'!H41</f>
        <v>12264</v>
      </c>
      <c r="I39" s="63">
        <f>'Data Sheet'!H60-'Manual Data'!I41</f>
        <v>11334</v>
      </c>
      <c r="J39" s="63">
        <f>'Data Sheet'!I60-'Manual Data'!J41</f>
        <v>11980</v>
      </c>
      <c r="K39" s="63">
        <f>'Data Sheet'!J60-'Manual Data'!K41</f>
        <v>15301</v>
      </c>
      <c r="L39" s="63">
        <f>'Data Sheet'!K60-'Manual Data'!L41</f>
        <v>17498</v>
      </c>
      <c r="M39" s="67">
        <f t="shared" si="42"/>
        <v>18456.22369309864</v>
      </c>
      <c r="N39" s="67">
        <f t="shared" si="42"/>
        <v>20274.61377025352</v>
      </c>
      <c r="O39" s="67">
        <f t="shared" si="42"/>
        <v>22093.003847408399</v>
      </c>
      <c r="P39" s="67">
        <f t="shared" si="42"/>
        <v>23911.393924563279</v>
      </c>
      <c r="Q39" s="67">
        <f t="shared" si="42"/>
        <v>25729.784001718159</v>
      </c>
    </row>
    <row r="40" spans="1:17" x14ac:dyDescent="0.3">
      <c r="B40" s="30" t="s">
        <v>198</v>
      </c>
      <c r="C40" s="63">
        <f>'Manual Data'!C41</f>
        <v>5685</v>
      </c>
      <c r="D40" s="63">
        <f>'Manual Data'!D41</f>
        <v>6186</v>
      </c>
      <c r="E40" s="63">
        <f>'Manual Data'!E41</f>
        <v>7170</v>
      </c>
      <c r="F40" s="63">
        <f>'Manual Data'!F41</f>
        <v>7206</v>
      </c>
      <c r="G40" s="63">
        <f>'Manual Data'!G41</f>
        <v>7535</v>
      </c>
      <c r="H40" s="63">
        <f>'Manual Data'!H41</f>
        <v>8802</v>
      </c>
      <c r="I40" s="63">
        <f>'Manual Data'!I41</f>
        <v>9068</v>
      </c>
      <c r="J40" s="63">
        <f>'Manual Data'!J41</f>
        <v>9574</v>
      </c>
      <c r="K40" s="63">
        <f>'Manual Data'!K41</f>
        <v>10486</v>
      </c>
      <c r="L40" s="63">
        <f>'Manual Data'!L41</f>
        <v>11315</v>
      </c>
      <c r="M40" s="67">
        <f t="shared" si="42"/>
        <v>11623.9275191208</v>
      </c>
      <c r="N40" s="67">
        <f t="shared" si="42"/>
        <v>12227.426321569685</v>
      </c>
      <c r="O40" s="67">
        <f t="shared" si="42"/>
        <v>12830.925124018584</v>
      </c>
      <c r="P40" s="67">
        <f t="shared" si="42"/>
        <v>13434.423926467483</v>
      </c>
      <c r="Q40" s="67">
        <f t="shared" si="42"/>
        <v>14037.922728916368</v>
      </c>
    </row>
    <row r="41" spans="1:17" x14ac:dyDescent="0.3">
      <c r="B41" s="30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67"/>
      <c r="N41" s="67"/>
      <c r="O41" s="67"/>
      <c r="P41" s="67"/>
      <c r="Q41" s="67"/>
    </row>
    <row r="42" spans="1:17" x14ac:dyDescent="0.3">
      <c r="B42" s="36" t="s">
        <v>111</v>
      </c>
      <c r="C42" s="61">
        <f>SUM(C36:C40)</f>
        <v>14793</v>
      </c>
      <c r="D42" s="61">
        <f t="shared" ref="D42:Q42" si="43">SUM(D36:D40)</f>
        <v>15706</v>
      </c>
      <c r="E42" s="61">
        <f t="shared" si="43"/>
        <v>17862</v>
      </c>
      <c r="F42" s="61">
        <f t="shared" si="43"/>
        <v>18629</v>
      </c>
      <c r="G42" s="61">
        <f t="shared" si="43"/>
        <v>20153</v>
      </c>
      <c r="H42" s="61">
        <f t="shared" si="43"/>
        <v>68740</v>
      </c>
      <c r="I42" s="61">
        <f t="shared" si="43"/>
        <v>70506</v>
      </c>
      <c r="J42" s="61">
        <f t="shared" si="43"/>
        <v>73077</v>
      </c>
      <c r="K42" s="61">
        <f t="shared" si="43"/>
        <v>78489</v>
      </c>
      <c r="L42" s="61">
        <f t="shared" si="43"/>
        <v>79863</v>
      </c>
      <c r="M42" s="61">
        <f t="shared" si="43"/>
        <v>95958.681842704333</v>
      </c>
      <c r="N42" s="61">
        <f t="shared" si="43"/>
        <v>105076.30113507604</v>
      </c>
      <c r="O42" s="61">
        <f t="shared" si="43"/>
        <v>114193.92042744777</v>
      </c>
      <c r="P42" s="61">
        <f t="shared" si="43"/>
        <v>123311.53971981948</v>
      </c>
      <c r="Q42" s="61">
        <f t="shared" si="43"/>
        <v>132429.1590121912</v>
      </c>
    </row>
    <row r="43" spans="1:17" x14ac:dyDescent="0.3">
      <c r="B43" s="30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67"/>
      <c r="N43" s="67"/>
      <c r="O43" s="67"/>
      <c r="P43" s="67"/>
      <c r="Q43" s="67"/>
    </row>
    <row r="44" spans="1:17" x14ac:dyDescent="0.3">
      <c r="B44" s="30" t="str">
        <f>'Data Sheet'!A62</f>
        <v>Net Block</v>
      </c>
      <c r="C44" s="63">
        <f>'Data Sheet'!B62</f>
        <v>3258</v>
      </c>
      <c r="D44" s="63">
        <f>'Data Sheet'!C62</f>
        <v>4419</v>
      </c>
      <c r="E44" s="63">
        <f>'Data Sheet'!D62</f>
        <v>4528</v>
      </c>
      <c r="F44" s="63">
        <f>'Data Sheet'!E62</f>
        <v>4715</v>
      </c>
      <c r="G44" s="63">
        <f>'Data Sheet'!F62</f>
        <v>5479</v>
      </c>
      <c r="H44" s="63">
        <f>'Data Sheet'!G62</f>
        <v>51443</v>
      </c>
      <c r="I44" s="63">
        <f>'Data Sheet'!H62</f>
        <v>51473</v>
      </c>
      <c r="J44" s="63">
        <f>'Data Sheet'!I62</f>
        <v>52678</v>
      </c>
      <c r="K44" s="63">
        <f>'Data Sheet'!J62</f>
        <v>53744</v>
      </c>
      <c r="L44" s="63">
        <f>'Data Sheet'!K62</f>
        <v>54335</v>
      </c>
      <c r="M44" s="67">
        <f t="shared" ref="M44:Q52" si="44">FORECAST(M$3,$C44:$L44,$C$3:$L$3)</f>
        <v>69669.497325464385</v>
      </c>
      <c r="N44" s="67">
        <f t="shared" si="44"/>
        <v>77130.909444643301</v>
      </c>
      <c r="O44" s="67">
        <f t="shared" si="44"/>
        <v>84592.321563822101</v>
      </c>
      <c r="P44" s="67">
        <f t="shared" si="44"/>
        <v>92053.733683000901</v>
      </c>
      <c r="Q44" s="67">
        <f t="shared" si="44"/>
        <v>99515.145802179817</v>
      </c>
    </row>
    <row r="45" spans="1:17" x14ac:dyDescent="0.3">
      <c r="B45" s="30" t="str">
        <f>'Data Sheet'!A63</f>
        <v>Capital Work in Progress</v>
      </c>
      <c r="C45" s="63">
        <f>'Data Sheet'!B63</f>
        <v>408</v>
      </c>
      <c r="D45" s="63">
        <f>'Data Sheet'!C63</f>
        <v>229</v>
      </c>
      <c r="E45" s="63">
        <f>'Data Sheet'!D63</f>
        <v>461</v>
      </c>
      <c r="F45" s="63">
        <f>'Data Sheet'!E63</f>
        <v>406</v>
      </c>
      <c r="G45" s="63">
        <f>'Data Sheet'!F63</f>
        <v>597</v>
      </c>
      <c r="H45" s="63">
        <f>'Data Sheet'!G63</f>
        <v>745</v>
      </c>
      <c r="I45" s="63">
        <f>'Data Sheet'!H63</f>
        <v>1313</v>
      </c>
      <c r="J45" s="63">
        <f>'Data Sheet'!I63</f>
        <v>1132</v>
      </c>
      <c r="K45" s="63">
        <f>'Data Sheet'!J63</f>
        <v>1025</v>
      </c>
      <c r="L45" s="63">
        <f>'Data Sheet'!K63</f>
        <v>1009</v>
      </c>
      <c r="M45" s="67">
        <f t="shared" si="44"/>
        <v>1305.9453863141662</v>
      </c>
      <c r="N45" s="67">
        <f t="shared" si="44"/>
        <v>1410.145897094606</v>
      </c>
      <c r="O45" s="67">
        <f t="shared" si="44"/>
        <v>1514.3464078750458</v>
      </c>
      <c r="P45" s="67">
        <f t="shared" si="44"/>
        <v>1618.5469186554874</v>
      </c>
      <c r="Q45" s="67">
        <f t="shared" si="44"/>
        <v>1722.7474294359272</v>
      </c>
    </row>
    <row r="46" spans="1:17" x14ac:dyDescent="0.3">
      <c r="B46" s="30" t="str">
        <f>'Data Sheet'!A64</f>
        <v>Investments</v>
      </c>
      <c r="C46" s="63">
        <f>'Data Sheet'!B64</f>
        <v>2592</v>
      </c>
      <c r="D46" s="63">
        <f>'Data Sheet'!C64</f>
        <v>3794</v>
      </c>
      <c r="E46" s="63">
        <f>'Data Sheet'!D64</f>
        <v>2873</v>
      </c>
      <c r="F46" s="63">
        <f>'Data Sheet'!E64</f>
        <v>2716</v>
      </c>
      <c r="G46" s="63">
        <f>'Data Sheet'!F64</f>
        <v>1255</v>
      </c>
      <c r="H46" s="63">
        <f>'Data Sheet'!G64</f>
        <v>2709</v>
      </c>
      <c r="I46" s="63">
        <f>'Data Sheet'!H64</f>
        <v>3521</v>
      </c>
      <c r="J46" s="63">
        <f>'Data Sheet'!I64</f>
        <v>2882</v>
      </c>
      <c r="K46" s="63">
        <f>'Data Sheet'!J64</f>
        <v>4625</v>
      </c>
      <c r="L46" s="63">
        <f>'Data Sheet'!K64</f>
        <v>3810</v>
      </c>
      <c r="M46" s="67">
        <f t="shared" si="44"/>
        <v>3767.4403951996319</v>
      </c>
      <c r="N46" s="67">
        <f t="shared" si="44"/>
        <v>3892.7728212701586</v>
      </c>
      <c r="O46" s="67">
        <f t="shared" si="44"/>
        <v>4018.1052473406853</v>
      </c>
      <c r="P46" s="67">
        <f t="shared" si="44"/>
        <v>4143.437673411212</v>
      </c>
      <c r="Q46" s="67">
        <f t="shared" si="44"/>
        <v>4268.7700994817369</v>
      </c>
    </row>
    <row r="47" spans="1:17" x14ac:dyDescent="0.3">
      <c r="B47" s="30" t="str">
        <f>'Data Sheet'!A65</f>
        <v>Other Assets</v>
      </c>
      <c r="C47" s="63">
        <f>'Data Sheet'!B65-SUM('Data Sheet'!B67:B69)</f>
        <v>1536</v>
      </c>
      <c r="D47" s="63">
        <f>'Data Sheet'!C65-SUM('Data Sheet'!C67:C69)</f>
        <v>1810</v>
      </c>
      <c r="E47" s="63">
        <f>'Data Sheet'!D65-SUM('Data Sheet'!D67:D69)</f>
        <v>2692</v>
      </c>
      <c r="F47" s="63">
        <f>'Data Sheet'!E65-SUM('Data Sheet'!E67:E69)</f>
        <v>2645</v>
      </c>
      <c r="G47" s="63">
        <f>'Data Sheet'!F65-SUM('Data Sheet'!F67:F69)</f>
        <v>3793</v>
      </c>
      <c r="H47" s="63">
        <f>'Data Sheet'!G65-SUM('Data Sheet'!G67:G69)</f>
        <v>4035</v>
      </c>
      <c r="I47" s="63">
        <f>'Data Sheet'!H65-SUM('Data Sheet'!H67:H69)</f>
        <v>4021</v>
      </c>
      <c r="J47" s="63">
        <f>'Data Sheet'!I65-SUM('Data Sheet'!I67:I69)</f>
        <v>4377</v>
      </c>
      <c r="K47" s="63">
        <f>'Data Sheet'!J65-SUM('Data Sheet'!J67:J69)</f>
        <v>4517</v>
      </c>
      <c r="L47" s="63">
        <f>'Data Sheet'!K65-SUM('Data Sheet'!K67:K69)</f>
        <v>4921</v>
      </c>
      <c r="M47" s="67">
        <f t="shared" si="44"/>
        <v>5508.2108731863264</v>
      </c>
      <c r="N47" s="67">
        <f t="shared" si="44"/>
        <v>5884.9876286565413</v>
      </c>
      <c r="O47" s="67">
        <f t="shared" si="44"/>
        <v>6261.7643841267491</v>
      </c>
      <c r="P47" s="67">
        <f t="shared" si="44"/>
        <v>6638.5411395969641</v>
      </c>
      <c r="Q47" s="67">
        <f t="shared" si="44"/>
        <v>7015.3178950671718</v>
      </c>
    </row>
    <row r="48" spans="1:17" x14ac:dyDescent="0.3">
      <c r="B48" s="37" t="s">
        <v>112</v>
      </c>
      <c r="C48" s="62">
        <f>SUM(C44:C47)</f>
        <v>7794</v>
      </c>
      <c r="D48" s="62">
        <f t="shared" ref="D48:L48" si="45">SUM(D44:D47)</f>
        <v>10252</v>
      </c>
      <c r="E48" s="62">
        <f t="shared" si="45"/>
        <v>10554</v>
      </c>
      <c r="F48" s="62">
        <f t="shared" si="45"/>
        <v>10482</v>
      </c>
      <c r="G48" s="62">
        <f t="shared" si="45"/>
        <v>11124</v>
      </c>
      <c r="H48" s="62">
        <f t="shared" si="45"/>
        <v>58932</v>
      </c>
      <c r="I48" s="62">
        <f t="shared" si="45"/>
        <v>60328</v>
      </c>
      <c r="J48" s="62">
        <f t="shared" si="45"/>
        <v>61069</v>
      </c>
      <c r="K48" s="62">
        <f t="shared" si="45"/>
        <v>63911</v>
      </c>
      <c r="L48" s="62">
        <f t="shared" si="45"/>
        <v>64075</v>
      </c>
      <c r="M48" s="73">
        <f t="shared" si="44"/>
        <v>80251.093980164616</v>
      </c>
      <c r="N48" s="73">
        <f t="shared" si="44"/>
        <v>88318.815791664645</v>
      </c>
      <c r="O48" s="73">
        <f t="shared" si="44"/>
        <v>96386.537603164557</v>
      </c>
      <c r="P48" s="73">
        <f t="shared" si="44"/>
        <v>104454.25941466459</v>
      </c>
      <c r="Q48" s="73">
        <f t="shared" si="44"/>
        <v>112521.98122616461</v>
      </c>
    </row>
    <row r="49" spans="1:17" x14ac:dyDescent="0.3">
      <c r="B49" s="30" t="str">
        <f>'Data Sheet'!A67</f>
        <v>Receivables</v>
      </c>
      <c r="C49" s="63">
        <f>'Data Sheet'!B67</f>
        <v>1264</v>
      </c>
      <c r="D49" s="63">
        <f>'Data Sheet'!C67</f>
        <v>1085</v>
      </c>
      <c r="E49" s="63">
        <f>'Data Sheet'!D67</f>
        <v>1310</v>
      </c>
      <c r="F49" s="63">
        <f>'Data Sheet'!E67</f>
        <v>1816</v>
      </c>
      <c r="G49" s="63">
        <f>'Data Sheet'!F67</f>
        <v>1149</v>
      </c>
      <c r="H49" s="63">
        <f>'Data Sheet'!G67</f>
        <v>1758</v>
      </c>
      <c r="I49" s="63">
        <f>'Data Sheet'!H67</f>
        <v>2236</v>
      </c>
      <c r="J49" s="63">
        <f>'Data Sheet'!I67</f>
        <v>3079</v>
      </c>
      <c r="K49" s="63">
        <f>'Data Sheet'!J67</f>
        <v>2997</v>
      </c>
      <c r="L49" s="63">
        <f>'Data Sheet'!K67</f>
        <v>3819</v>
      </c>
      <c r="M49" s="67">
        <f t="shared" si="44"/>
        <v>3620.9140673249967</v>
      </c>
      <c r="N49" s="67">
        <f t="shared" si="44"/>
        <v>3906.1279542038865</v>
      </c>
      <c r="O49" s="67">
        <f t="shared" si="44"/>
        <v>4191.341841082769</v>
      </c>
      <c r="P49" s="67">
        <f t="shared" si="44"/>
        <v>4476.5557279616587</v>
      </c>
      <c r="Q49" s="67">
        <f t="shared" si="44"/>
        <v>4761.7696148405485</v>
      </c>
    </row>
    <row r="50" spans="1:17" x14ac:dyDescent="0.3">
      <c r="B50" s="30" t="str">
        <f>'Data Sheet'!A68</f>
        <v>Inventory</v>
      </c>
      <c r="C50" s="63">
        <f>'Data Sheet'!B68</f>
        <v>2726</v>
      </c>
      <c r="D50" s="63">
        <f>'Data Sheet'!C68</f>
        <v>2541</v>
      </c>
      <c r="E50" s="63">
        <f>'Data Sheet'!D68</f>
        <v>2513</v>
      </c>
      <c r="F50" s="63">
        <f>'Data Sheet'!E68</f>
        <v>2574</v>
      </c>
      <c r="G50" s="63">
        <f>'Data Sheet'!F68</f>
        <v>2767</v>
      </c>
      <c r="H50" s="63">
        <f>'Data Sheet'!G68</f>
        <v>3579</v>
      </c>
      <c r="I50" s="63">
        <f>'Data Sheet'!H68</f>
        <v>4096</v>
      </c>
      <c r="J50" s="63">
        <f>'Data Sheet'!I68</f>
        <v>4251</v>
      </c>
      <c r="K50" s="63">
        <f>'Data Sheet'!J68</f>
        <v>4022</v>
      </c>
      <c r="L50" s="63">
        <f>'Data Sheet'!K68</f>
        <v>4415</v>
      </c>
      <c r="M50" s="67">
        <f t="shared" si="44"/>
        <v>4669.5077338648771</v>
      </c>
      <c r="N50" s="67">
        <f t="shared" si="44"/>
        <v>4909.5656433887889</v>
      </c>
      <c r="O50" s="67">
        <f t="shared" si="44"/>
        <v>5149.6235529127007</v>
      </c>
      <c r="P50" s="67">
        <f t="shared" si="44"/>
        <v>5389.6814624366125</v>
      </c>
      <c r="Q50" s="67">
        <f t="shared" si="44"/>
        <v>5629.7393719605243</v>
      </c>
    </row>
    <row r="51" spans="1:17" x14ac:dyDescent="0.3">
      <c r="B51" s="30" t="str">
        <f>'Data Sheet'!A69</f>
        <v>Cash &amp; Bank</v>
      </c>
      <c r="C51" s="63">
        <f>'Data Sheet'!B69</f>
        <v>3009</v>
      </c>
      <c r="D51" s="63">
        <f>'Data Sheet'!C69</f>
        <v>1828</v>
      </c>
      <c r="E51" s="63">
        <f>'Data Sheet'!D69</f>
        <v>3485</v>
      </c>
      <c r="F51" s="63">
        <f>'Data Sheet'!E69</f>
        <v>3757</v>
      </c>
      <c r="G51" s="63">
        <f>'Data Sheet'!F69</f>
        <v>5113</v>
      </c>
      <c r="H51" s="63">
        <f>'Data Sheet'!G69</f>
        <v>4471</v>
      </c>
      <c r="I51" s="63">
        <f>'Data Sheet'!H69</f>
        <v>3846</v>
      </c>
      <c r="J51" s="63">
        <f>'Data Sheet'!I69</f>
        <v>4678</v>
      </c>
      <c r="K51" s="63">
        <f>'Data Sheet'!J69</f>
        <v>7559</v>
      </c>
      <c r="L51" s="63">
        <f>'Data Sheet'!K69</f>
        <v>7554</v>
      </c>
      <c r="M51" s="67">
        <f t="shared" si="44"/>
        <v>7417.1660613497806</v>
      </c>
      <c r="N51" s="67">
        <f t="shared" si="44"/>
        <v>7941.7917458186857</v>
      </c>
      <c r="O51" s="67">
        <f t="shared" si="44"/>
        <v>8466.4174302875763</v>
      </c>
      <c r="P51" s="67">
        <f t="shared" si="44"/>
        <v>8991.0431147564814</v>
      </c>
      <c r="Q51" s="67">
        <f t="shared" si="44"/>
        <v>9515.6687992253719</v>
      </c>
    </row>
    <row r="52" spans="1:17" x14ac:dyDescent="0.3">
      <c r="B52" s="37" t="s">
        <v>113</v>
      </c>
      <c r="C52" s="62">
        <f>SUM(C49:C51)</f>
        <v>6999</v>
      </c>
      <c r="D52" s="62">
        <f t="shared" ref="D52:L52" si="46">SUM(D49:D51)</f>
        <v>5454</v>
      </c>
      <c r="E52" s="62">
        <f t="shared" si="46"/>
        <v>7308</v>
      </c>
      <c r="F52" s="62">
        <f t="shared" si="46"/>
        <v>8147</v>
      </c>
      <c r="G52" s="62">
        <f t="shared" si="46"/>
        <v>9029</v>
      </c>
      <c r="H52" s="62">
        <f t="shared" si="46"/>
        <v>9808</v>
      </c>
      <c r="I52" s="62">
        <f t="shared" si="46"/>
        <v>10178</v>
      </c>
      <c r="J52" s="62">
        <f t="shared" si="46"/>
        <v>12008</v>
      </c>
      <c r="K52" s="62">
        <f t="shared" si="46"/>
        <v>14578</v>
      </c>
      <c r="L52" s="62">
        <f t="shared" si="46"/>
        <v>15788</v>
      </c>
      <c r="M52" s="73">
        <f t="shared" si="44"/>
        <v>15707.587862539644</v>
      </c>
      <c r="N52" s="73">
        <f t="shared" si="44"/>
        <v>16757.485343411347</v>
      </c>
      <c r="O52" s="73">
        <f t="shared" si="44"/>
        <v>17807.38282428305</v>
      </c>
      <c r="P52" s="73">
        <f t="shared" si="44"/>
        <v>18857.280305154753</v>
      </c>
      <c r="Q52" s="73">
        <f t="shared" si="44"/>
        <v>19907.177786026456</v>
      </c>
    </row>
    <row r="53" spans="1:17" x14ac:dyDescent="0.3">
      <c r="B53" s="30"/>
      <c r="C53" s="2"/>
      <c r="D53" s="2"/>
      <c r="E53" s="2"/>
      <c r="F53" s="2"/>
      <c r="G53" s="2"/>
      <c r="H53" s="2"/>
      <c r="I53" s="2"/>
      <c r="J53" s="2"/>
      <c r="K53" s="2"/>
      <c r="L53" s="2"/>
      <c r="M53" s="68"/>
      <c r="N53" s="68"/>
      <c r="O53" s="68"/>
      <c r="P53" s="68"/>
      <c r="Q53" s="68"/>
    </row>
    <row r="54" spans="1:17" x14ac:dyDescent="0.3">
      <c r="B54" s="36" t="s">
        <v>114</v>
      </c>
      <c r="C54" s="61">
        <f>SUM(C52,C48)</f>
        <v>14793</v>
      </c>
      <c r="D54" s="61">
        <f t="shared" ref="D54:L54" si="47">SUM(D52,D48)</f>
        <v>15706</v>
      </c>
      <c r="E54" s="61">
        <f t="shared" si="47"/>
        <v>17862</v>
      </c>
      <c r="F54" s="61">
        <f t="shared" si="47"/>
        <v>18629</v>
      </c>
      <c r="G54" s="61">
        <f t="shared" si="47"/>
        <v>20153</v>
      </c>
      <c r="H54" s="61">
        <f t="shared" si="47"/>
        <v>68740</v>
      </c>
      <c r="I54" s="61">
        <f t="shared" si="47"/>
        <v>70506</v>
      </c>
      <c r="J54" s="61">
        <f t="shared" si="47"/>
        <v>73077</v>
      </c>
      <c r="K54" s="61">
        <f t="shared" si="47"/>
        <v>78489</v>
      </c>
      <c r="L54" s="61">
        <f t="shared" si="47"/>
        <v>79863</v>
      </c>
      <c r="M54" s="72">
        <f>FORECAST(M$3,$C54:$L54,$C$3:$L$3)</f>
        <v>95958.681842704304</v>
      </c>
      <c r="N54" s="72">
        <f t="shared" ref="N54:Q54" si="48">FORECAST(N$3,$C54:$L54,$C$3:$L$3)</f>
        <v>105076.30113507598</v>
      </c>
      <c r="O54" s="72">
        <f t="shared" si="48"/>
        <v>114193.92042744788</v>
      </c>
      <c r="P54" s="72">
        <f t="shared" si="48"/>
        <v>123311.53971981956</v>
      </c>
      <c r="Q54" s="72">
        <f t="shared" si="48"/>
        <v>132429.15901219123</v>
      </c>
    </row>
    <row r="55" spans="1:17" x14ac:dyDescent="0.3">
      <c r="B55" s="30"/>
    </row>
    <row r="56" spans="1:17" x14ac:dyDescent="0.3">
      <c r="B56" s="30"/>
    </row>
    <row r="57" spans="1:17" x14ac:dyDescent="0.3">
      <c r="A57" s="2" t="s">
        <v>95</v>
      </c>
      <c r="B57" s="29" t="s">
        <v>115</v>
      </c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</row>
    <row r="58" spans="1:17" x14ac:dyDescent="0.3">
      <c r="B58" s="53" t="s">
        <v>145</v>
      </c>
    </row>
    <row r="59" spans="1:17" x14ac:dyDescent="0.3">
      <c r="B59" s="54" t="s">
        <v>117</v>
      </c>
      <c r="C59" s="58">
        <f>'Manual Data'!C4</f>
        <v>6025</v>
      </c>
      <c r="D59" s="58">
        <f>'Manual Data'!D4</f>
        <v>6512</v>
      </c>
      <c r="E59" s="58">
        <f>'Manual Data'!E4</f>
        <v>7485</v>
      </c>
      <c r="F59" s="58">
        <f>'Manual Data'!F4</f>
        <v>8909</v>
      </c>
      <c r="G59" s="58">
        <f>'Manual Data'!G4</f>
        <v>9723</v>
      </c>
      <c r="H59" s="58">
        <f>'Manual Data'!H4</f>
        <v>11672</v>
      </c>
      <c r="I59" s="58">
        <f>'Manual Data'!I4</f>
        <v>12829</v>
      </c>
      <c r="J59" s="58">
        <f>'Manual Data'!J4</f>
        <v>14089</v>
      </c>
      <c r="K59" s="58">
        <f>'Manual Data'!K4</f>
        <v>14537</v>
      </c>
      <c r="L59" s="58">
        <f>'Manual Data'!L4</f>
        <v>14942</v>
      </c>
      <c r="M59" s="74">
        <f t="shared" ref="M59:Q69" si="49">FORECAST(M$3,$C59:$L59,$C$3:$L$3)</f>
        <v>16777.071430674885</v>
      </c>
      <c r="N59" s="74">
        <f t="shared" si="49"/>
        <v>17886.366781994831</v>
      </c>
      <c r="O59" s="74">
        <f t="shared" si="49"/>
        <v>18995.662133314749</v>
      </c>
      <c r="P59" s="74">
        <f t="shared" si="49"/>
        <v>20104.957484634666</v>
      </c>
      <c r="Q59" s="74">
        <f t="shared" si="49"/>
        <v>21214.252835954612</v>
      </c>
    </row>
    <row r="60" spans="1:17" x14ac:dyDescent="0.3">
      <c r="B60" s="54" t="s">
        <v>78</v>
      </c>
      <c r="C60" s="58">
        <f>'Manual Data'!C5</f>
        <v>-257</v>
      </c>
      <c r="D60" s="58">
        <f>'Manual Data'!D5</f>
        <v>173</v>
      </c>
      <c r="E60" s="58">
        <f>'Manual Data'!E5</f>
        <v>0</v>
      </c>
      <c r="F60" s="58">
        <f>'Manual Data'!F5</f>
        <v>0</v>
      </c>
      <c r="G60" s="58">
        <f>'Manual Data'!G5</f>
        <v>0</v>
      </c>
      <c r="H60" s="58">
        <f>'Manual Data'!H5</f>
        <v>0</v>
      </c>
      <c r="I60" s="58">
        <f>'Manual Data'!I5</f>
        <v>0</v>
      </c>
      <c r="J60" s="58">
        <f>'Manual Data'!J5</f>
        <v>0</v>
      </c>
      <c r="K60" s="58">
        <f>'Manual Data'!K5</f>
        <v>0</v>
      </c>
      <c r="L60" s="58">
        <f>'Manual Data'!L5</f>
        <v>0</v>
      </c>
      <c r="M60" s="74">
        <f t="shared" si="49"/>
        <v>28.318778130334408</v>
      </c>
      <c r="N60" s="74">
        <f t="shared" si="49"/>
        <v>34.990931272950093</v>
      </c>
      <c r="O60" s="74">
        <f t="shared" si="49"/>
        <v>41.663084415565777</v>
      </c>
      <c r="P60" s="74">
        <f t="shared" si="49"/>
        <v>48.335237558181348</v>
      </c>
      <c r="Q60" s="74">
        <f t="shared" si="49"/>
        <v>55.007390700797032</v>
      </c>
    </row>
    <row r="61" spans="1:17" x14ac:dyDescent="0.3">
      <c r="B61" s="54" t="s">
        <v>45</v>
      </c>
      <c r="C61" s="58">
        <f>'Manual Data'!C6</f>
        <v>89</v>
      </c>
      <c r="D61" s="58">
        <f>'Manual Data'!D6</f>
        <v>37</v>
      </c>
      <c r="E61" s="58">
        <f>'Manual Data'!E6</f>
        <v>-146</v>
      </c>
      <c r="F61" s="58">
        <f>'Manual Data'!F6</f>
        <v>-195</v>
      </c>
      <c r="G61" s="58">
        <f>'Manual Data'!G6</f>
        <v>-331</v>
      </c>
      <c r="H61" s="58">
        <f>'Manual Data'!H6</f>
        <v>-543</v>
      </c>
      <c r="I61" s="58">
        <f>'Manual Data'!I6</f>
        <v>-758</v>
      </c>
      <c r="J61" s="58">
        <f>'Manual Data'!J6</f>
        <v>-339</v>
      </c>
      <c r="K61" s="58">
        <f>'Manual Data'!K6</f>
        <v>74</v>
      </c>
      <c r="L61" s="58">
        <f>'Manual Data'!L6</f>
        <v>-584</v>
      </c>
      <c r="M61" s="74">
        <f t="shared" si="49"/>
        <v>-558.34139167798457</v>
      </c>
      <c r="N61" s="74">
        <f t="shared" si="49"/>
        <v>-610.80846389507224</v>
      </c>
      <c r="O61" s="74">
        <f t="shared" si="49"/>
        <v>-663.2755361121599</v>
      </c>
      <c r="P61" s="74">
        <f t="shared" si="49"/>
        <v>-715.74260832924847</v>
      </c>
      <c r="Q61" s="74">
        <f t="shared" si="49"/>
        <v>-768.20968054633613</v>
      </c>
    </row>
    <row r="62" spans="1:17" x14ac:dyDescent="0.3">
      <c r="B62" s="54" t="s">
        <v>118</v>
      </c>
      <c r="C62" s="58">
        <f>'Manual Data'!C7</f>
        <v>164</v>
      </c>
      <c r="D62" s="58">
        <f>'Manual Data'!D7</f>
        <v>501</v>
      </c>
      <c r="E62" s="58">
        <f>'Manual Data'!E7</f>
        <v>0</v>
      </c>
      <c r="F62" s="58">
        <f>'Manual Data'!F7</f>
        <v>0</v>
      </c>
      <c r="G62" s="58">
        <f>'Manual Data'!G7</f>
        <v>0</v>
      </c>
      <c r="H62" s="58">
        <f>'Manual Data'!H7</f>
        <v>0</v>
      </c>
      <c r="I62" s="58">
        <f>'Manual Data'!I7</f>
        <v>0</v>
      </c>
      <c r="J62" s="58">
        <f>'Manual Data'!J7</f>
        <v>0</v>
      </c>
      <c r="K62" s="58">
        <f>'Manual Data'!K7</f>
        <v>0</v>
      </c>
      <c r="L62" s="58">
        <f>'Manual Data'!L7</f>
        <v>0</v>
      </c>
      <c r="M62" s="74">
        <f t="shared" si="49"/>
        <v>-99.575822934365533</v>
      </c>
      <c r="N62" s="74">
        <f t="shared" si="49"/>
        <v>-129.75338821093419</v>
      </c>
      <c r="O62" s="74">
        <f t="shared" si="49"/>
        <v>-159.9309534875033</v>
      </c>
      <c r="P62" s="74">
        <f t="shared" si="49"/>
        <v>-190.10851876407196</v>
      </c>
      <c r="Q62" s="74">
        <f t="shared" si="49"/>
        <v>-220.28608404064062</v>
      </c>
    </row>
    <row r="63" spans="1:17" x14ac:dyDescent="0.3">
      <c r="B63" s="54" t="s">
        <v>119</v>
      </c>
      <c r="C63" s="58">
        <f>'Manual Data'!C8</f>
        <v>0</v>
      </c>
      <c r="D63" s="58">
        <f>'Manual Data'!D8</f>
        <v>0</v>
      </c>
      <c r="E63" s="58">
        <f>'Manual Data'!E8</f>
        <v>0</v>
      </c>
      <c r="F63" s="58">
        <f>'Manual Data'!F8</f>
        <v>0</v>
      </c>
      <c r="G63" s="58">
        <f>'Manual Data'!G8</f>
        <v>0</v>
      </c>
      <c r="H63" s="58">
        <f>'Manual Data'!H8</f>
        <v>0</v>
      </c>
      <c r="I63" s="58">
        <f>'Manual Data'!I8</f>
        <v>0</v>
      </c>
      <c r="J63" s="58">
        <f>'Manual Data'!J8</f>
        <v>0</v>
      </c>
      <c r="K63" s="58">
        <f>'Manual Data'!K8</f>
        <v>0</v>
      </c>
      <c r="L63" s="58">
        <f>'Manual Data'!L8</f>
        <v>0</v>
      </c>
      <c r="M63" s="74">
        <f t="shared" si="49"/>
        <v>0</v>
      </c>
      <c r="N63" s="74">
        <f t="shared" si="49"/>
        <v>0</v>
      </c>
      <c r="O63" s="74">
        <f t="shared" si="49"/>
        <v>0</v>
      </c>
      <c r="P63" s="74">
        <f t="shared" si="49"/>
        <v>0</v>
      </c>
      <c r="Q63" s="74">
        <f t="shared" si="49"/>
        <v>0</v>
      </c>
    </row>
    <row r="64" spans="1:17" x14ac:dyDescent="0.3">
      <c r="B64" s="54" t="s">
        <v>120</v>
      </c>
      <c r="C64" s="58">
        <f>'Manual Data'!C9</f>
        <v>-77</v>
      </c>
      <c r="D64" s="58">
        <f>'Manual Data'!D9</f>
        <v>-99</v>
      </c>
      <c r="E64" s="58">
        <f>'Manual Data'!E9</f>
        <v>982</v>
      </c>
      <c r="F64" s="58">
        <f>'Manual Data'!F9</f>
        <v>-147</v>
      </c>
      <c r="G64" s="58">
        <f>'Manual Data'!G9</f>
        <v>742</v>
      </c>
      <c r="H64" s="58">
        <f>'Manual Data'!H9</f>
        <v>442</v>
      </c>
      <c r="I64" s="58">
        <f>'Manual Data'!I9</f>
        <v>-242</v>
      </c>
      <c r="J64" s="58">
        <f>'Manual Data'!J9</f>
        <v>-621</v>
      </c>
      <c r="K64" s="58">
        <f>'Manual Data'!K9</f>
        <v>1239</v>
      </c>
      <c r="L64" s="58">
        <f>'Manual Data'!L9</f>
        <v>-204</v>
      </c>
      <c r="M64" s="74">
        <f t="shared" si="49"/>
        <v>189.08468788914325</v>
      </c>
      <c r="N64" s="74">
        <f t="shared" si="49"/>
        <v>186.82870694601451</v>
      </c>
      <c r="O64" s="74">
        <f t="shared" si="49"/>
        <v>184.57272600288576</v>
      </c>
      <c r="P64" s="74">
        <f t="shared" si="49"/>
        <v>182.31674505975701</v>
      </c>
      <c r="Q64" s="74">
        <f t="shared" si="49"/>
        <v>180.06076411662826</v>
      </c>
    </row>
    <row r="65" spans="2:17" x14ac:dyDescent="0.3">
      <c r="B65" s="54" t="s">
        <v>121</v>
      </c>
      <c r="C65" s="58">
        <f>'Manual Data'!C10</f>
        <v>-81</v>
      </c>
      <c r="D65" s="58">
        <f>'Manual Data'!D10</f>
        <v>566</v>
      </c>
      <c r="E65" s="58">
        <f>'Manual Data'!E10</f>
        <v>836</v>
      </c>
      <c r="F65" s="58">
        <f>'Manual Data'!F10</f>
        <v>-342</v>
      </c>
      <c r="G65" s="58">
        <f>'Manual Data'!G10</f>
        <v>411</v>
      </c>
      <c r="H65" s="58">
        <f>'Manual Data'!H10</f>
        <v>-101</v>
      </c>
      <c r="I65" s="58">
        <f>'Manual Data'!I10</f>
        <v>-1000</v>
      </c>
      <c r="J65" s="58">
        <f>'Manual Data'!J10</f>
        <v>-960</v>
      </c>
      <c r="K65" s="58">
        <f>'Manual Data'!K10</f>
        <v>1313</v>
      </c>
      <c r="L65" s="58">
        <f>'Manual Data'!L10</f>
        <v>-788</v>
      </c>
      <c r="M65" s="74">
        <f t="shared" si="49"/>
        <v>-434.38153546534704</v>
      </c>
      <c r="N65" s="74">
        <f t="shared" si="49"/>
        <v>-510.659854997808</v>
      </c>
      <c r="O65" s="74">
        <f t="shared" si="49"/>
        <v>-586.93817453026713</v>
      </c>
      <c r="P65" s="74">
        <f t="shared" si="49"/>
        <v>-663.21649406272809</v>
      </c>
      <c r="Q65" s="74">
        <f t="shared" si="49"/>
        <v>-739.49481359518722</v>
      </c>
    </row>
    <row r="66" spans="2:17" x14ac:dyDescent="0.3">
      <c r="B66" s="54" t="s">
        <v>122</v>
      </c>
      <c r="C66" s="58">
        <f>'Manual Data'!C11</f>
        <v>-1765</v>
      </c>
      <c r="D66" s="58">
        <f>'Manual Data'!D11</f>
        <v>-1859</v>
      </c>
      <c r="E66" s="58">
        <f>'Manual Data'!E11</f>
        <v>-2264</v>
      </c>
      <c r="F66" s="58">
        <f>'Manual Data'!F11</f>
        <v>-2767</v>
      </c>
      <c r="G66" s="58">
        <f>'Manual Data'!G11</f>
        <v>-2505</v>
      </c>
      <c r="H66" s="58">
        <f>'Manual Data'!H11</f>
        <v>-2407</v>
      </c>
      <c r="I66" s="58">
        <f>'Manual Data'!I11</f>
        <v>-2784</v>
      </c>
      <c r="J66" s="58">
        <f>'Manual Data'!J11</f>
        <v>-3138</v>
      </c>
      <c r="K66" s="58">
        <f>'Manual Data'!K11</f>
        <v>-381</v>
      </c>
      <c r="L66" s="58">
        <f>'Manual Data'!L11</f>
        <v>-2268</v>
      </c>
      <c r="M66" s="74">
        <f t="shared" si="49"/>
        <v>-2163.6816608798154</v>
      </c>
      <c r="N66" s="74">
        <f t="shared" si="49"/>
        <v>-2154.5746793599928</v>
      </c>
      <c r="O66" s="74">
        <f t="shared" si="49"/>
        <v>-2145.4676978401703</v>
      </c>
      <c r="P66" s="74">
        <f t="shared" si="49"/>
        <v>-2136.3607163203478</v>
      </c>
      <c r="Q66" s="74">
        <f t="shared" si="49"/>
        <v>-2127.2537348005253</v>
      </c>
    </row>
    <row r="67" spans="2:17" x14ac:dyDescent="0.3">
      <c r="B67" s="54" t="s">
        <v>123</v>
      </c>
      <c r="C67" s="58">
        <f>'Manual Data'!C12</f>
        <v>-8</v>
      </c>
      <c r="D67" s="58">
        <f>'Manual Data'!D12</f>
        <v>-21</v>
      </c>
      <c r="E67" s="58">
        <f>'Manual Data'!E12</f>
        <v>0</v>
      </c>
      <c r="F67" s="58">
        <f>'Manual Data'!F12</f>
        <v>0</v>
      </c>
      <c r="G67" s="58">
        <f>'Manual Data'!G12</f>
        <v>0</v>
      </c>
      <c r="H67" s="58">
        <f>'Manual Data'!H12</f>
        <v>0</v>
      </c>
      <c r="I67" s="58">
        <f>'Manual Data'!I12</f>
        <v>0</v>
      </c>
      <c r="J67" s="58">
        <f>'Manual Data'!J12</f>
        <v>0</v>
      </c>
      <c r="K67" s="58">
        <f>'Manual Data'!K12</f>
        <v>0</v>
      </c>
      <c r="L67" s="58">
        <f>'Manual Data'!L12</f>
        <v>0</v>
      </c>
      <c r="M67" s="74">
        <f t="shared" si="49"/>
        <v>4.3989043790989513</v>
      </c>
      <c r="N67" s="74">
        <f t="shared" si="49"/>
        <v>5.7251851071176532</v>
      </c>
      <c r="O67" s="74">
        <f t="shared" si="49"/>
        <v>7.0514658351363266</v>
      </c>
      <c r="P67" s="74">
        <f t="shared" si="49"/>
        <v>8.3777465631550001</v>
      </c>
      <c r="Q67" s="74">
        <f t="shared" si="49"/>
        <v>9.704027291173702</v>
      </c>
    </row>
    <row r="68" spans="2:17" x14ac:dyDescent="0.3">
      <c r="B68" s="54" t="s">
        <v>124</v>
      </c>
      <c r="C68" s="58">
        <f>'Manual Data'!C13</f>
        <v>0</v>
      </c>
      <c r="D68" s="58">
        <f>'Manual Data'!D13</f>
        <v>-13</v>
      </c>
      <c r="E68" s="58">
        <f>'Manual Data'!E13</f>
        <v>2</v>
      </c>
      <c r="F68" s="58">
        <f>'Manual Data'!F13</f>
        <v>0</v>
      </c>
      <c r="G68" s="58">
        <f>'Manual Data'!G13</f>
        <v>-6</v>
      </c>
      <c r="H68" s="58">
        <f>'Manual Data'!H13</f>
        <v>-1</v>
      </c>
      <c r="I68" s="58">
        <f>'Manual Data'!I13</f>
        <v>3</v>
      </c>
      <c r="J68" s="58">
        <f>'Manual Data'!J13</f>
        <v>0</v>
      </c>
      <c r="K68" s="58">
        <f>'Manual Data'!K13</f>
        <v>0</v>
      </c>
      <c r="L68" s="58">
        <f>'Manual Data'!L13</f>
        <v>0</v>
      </c>
      <c r="M68" s="74">
        <f t="shared" si="49"/>
        <v>1.6658146996091858</v>
      </c>
      <c r="N68" s="74">
        <f t="shared" si="49"/>
        <v>2.2410735064779885</v>
      </c>
      <c r="O68" s="74">
        <f t="shared" si="49"/>
        <v>2.8163323133467912</v>
      </c>
      <c r="P68" s="74">
        <f t="shared" si="49"/>
        <v>3.3915911202155939</v>
      </c>
      <c r="Q68" s="74">
        <f t="shared" si="49"/>
        <v>3.9668499270843824</v>
      </c>
    </row>
    <row r="69" spans="2:17" x14ac:dyDescent="0.3">
      <c r="B69" s="55" t="s">
        <v>146</v>
      </c>
      <c r="C69" s="57">
        <f>SUM(C59:C68)</f>
        <v>4090</v>
      </c>
      <c r="D69" s="57">
        <f t="shared" ref="D69:L69" si="50">SUM(D59:D68)</f>
        <v>5797</v>
      </c>
      <c r="E69" s="57">
        <f t="shared" si="50"/>
        <v>6895</v>
      </c>
      <c r="F69" s="57">
        <f t="shared" si="50"/>
        <v>5458</v>
      </c>
      <c r="G69" s="57">
        <f t="shared" si="50"/>
        <v>8034</v>
      </c>
      <c r="H69" s="57">
        <f t="shared" si="50"/>
        <v>9062</v>
      </c>
      <c r="I69" s="57">
        <f t="shared" si="50"/>
        <v>8048</v>
      </c>
      <c r="J69" s="57">
        <f t="shared" si="50"/>
        <v>9031</v>
      </c>
      <c r="K69" s="57">
        <f t="shared" si="50"/>
        <v>16782</v>
      </c>
      <c r="L69" s="57">
        <f t="shared" si="50"/>
        <v>11098</v>
      </c>
      <c r="M69" s="76">
        <f t="shared" si="49"/>
        <v>13744.559204815552</v>
      </c>
      <c r="N69" s="76">
        <f t="shared" si="49"/>
        <v>14710.356292363562</v>
      </c>
      <c r="O69" s="76">
        <f t="shared" si="49"/>
        <v>15676.153379911571</v>
      </c>
      <c r="P69" s="76">
        <f t="shared" si="49"/>
        <v>16641.950467459566</v>
      </c>
      <c r="Q69" s="76">
        <f t="shared" si="49"/>
        <v>17607.747555007576</v>
      </c>
    </row>
    <row r="70" spans="2:17" x14ac:dyDescent="0.3">
      <c r="B70" s="54"/>
    </row>
    <row r="71" spans="2:17" x14ac:dyDescent="0.3">
      <c r="B71" s="53" t="s">
        <v>147</v>
      </c>
    </row>
    <row r="72" spans="2:17" x14ac:dyDescent="0.3">
      <c r="B72" s="54" t="s">
        <v>126</v>
      </c>
      <c r="C72" s="58">
        <f>'Manual Data'!C15</f>
        <v>-810</v>
      </c>
      <c r="D72" s="58">
        <f>'Manual Data'!D15</f>
        <v>-1113</v>
      </c>
      <c r="E72" s="58">
        <f>'Manual Data'!E15</f>
        <v>-895</v>
      </c>
      <c r="F72" s="58">
        <f>'Manual Data'!F15</f>
        <v>-767</v>
      </c>
      <c r="G72" s="58">
        <f>'Manual Data'!G15</f>
        <v>-862</v>
      </c>
      <c r="H72" s="58">
        <f>'Manual Data'!H15</f>
        <v>-4163</v>
      </c>
      <c r="I72" s="58">
        <f>'Manual Data'!I15</f>
        <v>-1228</v>
      </c>
      <c r="J72" s="58">
        <f>'Manual Data'!J15</f>
        <v>-1192</v>
      </c>
      <c r="K72" s="58">
        <f>'Manual Data'!K15</f>
        <v>-1477</v>
      </c>
      <c r="L72" s="58">
        <f>'Manual Data'!L15</f>
        <v>-1275</v>
      </c>
      <c r="M72" s="74">
        <f t="shared" ref="M72:Q83" si="51">FORECAST(M$3,$C72:$L72,$C$3:$L$3)</f>
        <v>-1808.3037102945154</v>
      </c>
      <c r="N72" s="74">
        <f t="shared" si="51"/>
        <v>-1886.4576677085142</v>
      </c>
      <c r="O72" s="74">
        <f t="shared" si="51"/>
        <v>-1964.611625122513</v>
      </c>
      <c r="P72" s="74">
        <f t="shared" si="51"/>
        <v>-2042.7655825365118</v>
      </c>
      <c r="Q72" s="74">
        <f t="shared" si="51"/>
        <v>-2120.9195399505088</v>
      </c>
    </row>
    <row r="73" spans="2:17" x14ac:dyDescent="0.3">
      <c r="B73" s="54" t="s">
        <v>127</v>
      </c>
      <c r="C73" s="58">
        <f>'Manual Data'!C16</f>
        <v>99</v>
      </c>
      <c r="D73" s="58">
        <f>'Manual Data'!D16</f>
        <v>176</v>
      </c>
      <c r="E73" s="58">
        <f>'Manual Data'!E16</f>
        <v>32</v>
      </c>
      <c r="F73" s="58">
        <f>'Manual Data'!F16</f>
        <v>13</v>
      </c>
      <c r="G73" s="58">
        <f>'Manual Data'!G16</f>
        <v>52</v>
      </c>
      <c r="H73" s="58">
        <f>'Manual Data'!H16</f>
        <v>97</v>
      </c>
      <c r="I73" s="58">
        <f>'Manual Data'!I16</f>
        <v>175</v>
      </c>
      <c r="J73" s="58">
        <f>'Manual Data'!J16</f>
        <v>181</v>
      </c>
      <c r="K73" s="58">
        <f>'Manual Data'!K16</f>
        <v>20</v>
      </c>
      <c r="L73" s="58">
        <f>'Manual Data'!L16</f>
        <v>13</v>
      </c>
      <c r="M73" s="74">
        <f t="shared" si="51"/>
        <v>66.126630376941819</v>
      </c>
      <c r="N73" s="74">
        <f t="shared" si="51"/>
        <v>62.551790972144545</v>
      </c>
      <c r="O73" s="74">
        <f t="shared" si="51"/>
        <v>58.976951567347328</v>
      </c>
      <c r="P73" s="74">
        <f t="shared" si="51"/>
        <v>55.402112162550111</v>
      </c>
      <c r="Q73" s="74">
        <f t="shared" si="51"/>
        <v>51.827272757752837</v>
      </c>
    </row>
    <row r="74" spans="2:17" x14ac:dyDescent="0.3">
      <c r="B74" s="54" t="s">
        <v>128</v>
      </c>
      <c r="C74" s="58">
        <f>'Manual Data'!C17</f>
        <v>-20666</v>
      </c>
      <c r="D74" s="58">
        <f>'Manual Data'!D17</f>
        <v>-31214</v>
      </c>
      <c r="E74" s="58">
        <f>'Manual Data'!E17</f>
        <v>-51855</v>
      </c>
      <c r="F74" s="58">
        <f>'Manual Data'!F17</f>
        <v>-74365</v>
      </c>
      <c r="G74" s="58">
        <f>'Manual Data'!G17</f>
        <v>-36090</v>
      </c>
      <c r="H74" s="58">
        <f>'Manual Data'!H17</f>
        <v>-39920</v>
      </c>
      <c r="I74" s="58">
        <f>'Manual Data'!I17</f>
        <v>-48522</v>
      </c>
      <c r="J74" s="58">
        <f>'Manual Data'!J17</f>
        <v>-22649</v>
      </c>
      <c r="K74" s="58">
        <f>'Manual Data'!K17</f>
        <v>-21337</v>
      </c>
      <c r="L74" s="58">
        <f>'Manual Data'!L17</f>
        <v>-22957</v>
      </c>
      <c r="M74" s="74">
        <f t="shared" si="51"/>
        <v>-28011.4642385318</v>
      </c>
      <c r="N74" s="74">
        <f t="shared" si="51"/>
        <v>-26385.883986161643</v>
      </c>
      <c r="O74" s="74">
        <f t="shared" si="51"/>
        <v>-24760.303733791516</v>
      </c>
      <c r="P74" s="74">
        <f t="shared" si="51"/>
        <v>-23134.723481421388</v>
      </c>
      <c r="Q74" s="74">
        <f t="shared" si="51"/>
        <v>-21509.143229051231</v>
      </c>
    </row>
    <row r="75" spans="2:17" x14ac:dyDescent="0.3">
      <c r="B75" s="54" t="s">
        <v>129</v>
      </c>
      <c r="C75" s="58">
        <f>'Manual Data'!C18</f>
        <v>20937</v>
      </c>
      <c r="D75" s="58">
        <f>'Manual Data'!D18</f>
        <v>30083</v>
      </c>
      <c r="E75" s="58">
        <f>'Manual Data'!E18</f>
        <v>52897</v>
      </c>
      <c r="F75" s="58">
        <f>'Manual Data'!F18</f>
        <v>74691</v>
      </c>
      <c r="G75" s="58">
        <f>'Manual Data'!G18</f>
        <v>37690</v>
      </c>
      <c r="H75" s="58">
        <f>'Manual Data'!H18</f>
        <v>38486</v>
      </c>
      <c r="I75" s="58">
        <f>'Manual Data'!I18</f>
        <v>47786</v>
      </c>
      <c r="J75" s="58">
        <f>'Manual Data'!J18</f>
        <v>23462</v>
      </c>
      <c r="K75" s="58">
        <f>'Manual Data'!K18</f>
        <v>19846</v>
      </c>
      <c r="L75" s="58">
        <f>'Manual Data'!L18</f>
        <v>23987</v>
      </c>
      <c r="M75" s="74">
        <f t="shared" si="51"/>
        <v>27938.572294852347</v>
      </c>
      <c r="N75" s="74">
        <f t="shared" si="51"/>
        <v>26294.477301882318</v>
      </c>
      <c r="O75" s="74">
        <f t="shared" si="51"/>
        <v>24650.382308912289</v>
      </c>
      <c r="P75" s="74">
        <f t="shared" si="51"/>
        <v>23006.287315942231</v>
      </c>
      <c r="Q75" s="74">
        <f t="shared" si="51"/>
        <v>21362.192322972202</v>
      </c>
    </row>
    <row r="76" spans="2:17" x14ac:dyDescent="0.3">
      <c r="B76" s="54" t="s">
        <v>130</v>
      </c>
      <c r="C76" s="58">
        <f>'Manual Data'!C19</f>
        <v>315</v>
      </c>
      <c r="D76" s="58">
        <f>'Manual Data'!D19</f>
        <v>264</v>
      </c>
      <c r="E76" s="58">
        <f>'Manual Data'!E19</f>
        <v>297</v>
      </c>
      <c r="F76" s="58">
        <f>'Manual Data'!F19</f>
        <v>289</v>
      </c>
      <c r="G76" s="58">
        <f>'Manual Data'!G19</f>
        <v>351</v>
      </c>
      <c r="H76" s="58">
        <f>'Manual Data'!H19</f>
        <v>277</v>
      </c>
      <c r="I76" s="58">
        <f>'Manual Data'!I19</f>
        <v>161</v>
      </c>
      <c r="J76" s="58">
        <f>'Manual Data'!J19</f>
        <v>259</v>
      </c>
      <c r="K76" s="58">
        <f>'Manual Data'!K19</f>
        <v>425</v>
      </c>
      <c r="L76" s="58">
        <f>'Manual Data'!L19</f>
        <v>835</v>
      </c>
      <c r="M76" s="74">
        <f t="shared" si="51"/>
        <v>519.28522203027387</v>
      </c>
      <c r="N76" s="74">
        <f t="shared" si="51"/>
        <v>550.53658163651153</v>
      </c>
      <c r="O76" s="74">
        <f t="shared" si="51"/>
        <v>581.78794124274918</v>
      </c>
      <c r="P76" s="74">
        <f t="shared" si="51"/>
        <v>613.0393008489873</v>
      </c>
      <c r="Q76" s="74">
        <f t="shared" si="51"/>
        <v>644.29066045522495</v>
      </c>
    </row>
    <row r="77" spans="2:17" x14ac:dyDescent="0.3">
      <c r="B77" s="54" t="s">
        <v>131</v>
      </c>
      <c r="C77" s="58">
        <f>'Manual Data'!C20</f>
        <v>33</v>
      </c>
      <c r="D77" s="58">
        <f>'Manual Data'!D20</f>
        <v>14</v>
      </c>
      <c r="E77" s="58">
        <f>'Manual Data'!E20</f>
        <v>0</v>
      </c>
      <c r="F77" s="58">
        <f>'Manual Data'!F20</f>
        <v>1</v>
      </c>
      <c r="G77" s="58">
        <f>'Manual Data'!G20</f>
        <v>1</v>
      </c>
      <c r="H77" s="58">
        <f>'Manual Data'!H20</f>
        <v>1</v>
      </c>
      <c r="I77" s="58">
        <f>'Manual Data'!I20</f>
        <v>1</v>
      </c>
      <c r="J77" s="58">
        <f>'Manual Data'!J20</f>
        <v>2</v>
      </c>
      <c r="K77" s="58">
        <f>'Manual Data'!K20</f>
        <v>3</v>
      </c>
      <c r="L77" s="58">
        <f>'Manual Data'!L20</f>
        <v>0</v>
      </c>
      <c r="M77" s="74">
        <f t="shared" si="51"/>
        <v>-6.5306433963785935</v>
      </c>
      <c r="N77" s="74">
        <f t="shared" si="51"/>
        <v>-8.7348973116860975</v>
      </c>
      <c r="O77" s="74">
        <f t="shared" si="51"/>
        <v>-10.939151226993602</v>
      </c>
      <c r="P77" s="74">
        <f t="shared" si="51"/>
        <v>-13.143405142301106</v>
      </c>
      <c r="Q77" s="74">
        <f t="shared" si="51"/>
        <v>-15.347659057608666</v>
      </c>
    </row>
    <row r="78" spans="2:17" x14ac:dyDescent="0.3">
      <c r="B78" s="54" t="s">
        <v>132</v>
      </c>
      <c r="C78" s="58">
        <f>'Manual Data'!C21</f>
        <v>0</v>
      </c>
      <c r="D78" s="58">
        <f>'Manual Data'!D21</f>
        <v>0</v>
      </c>
      <c r="E78" s="58">
        <f>'Manual Data'!E21</f>
        <v>0</v>
      </c>
      <c r="F78" s="58">
        <f>'Manual Data'!F21</f>
        <v>0</v>
      </c>
      <c r="G78" s="58">
        <f>'Manual Data'!G21</f>
        <v>0</v>
      </c>
      <c r="H78" s="58">
        <f>'Manual Data'!H21</f>
        <v>0</v>
      </c>
      <c r="I78" s="58">
        <f>'Manual Data'!I21</f>
        <v>0</v>
      </c>
      <c r="J78" s="58">
        <f>'Manual Data'!J21</f>
        <v>0</v>
      </c>
      <c r="K78" s="58">
        <f>'Manual Data'!K21</f>
        <v>0</v>
      </c>
      <c r="L78" s="58">
        <f>'Manual Data'!L21</f>
        <v>0</v>
      </c>
      <c r="M78" s="74">
        <f t="shared" si="51"/>
        <v>0</v>
      </c>
      <c r="N78" s="74">
        <f t="shared" si="51"/>
        <v>0</v>
      </c>
      <c r="O78" s="74">
        <f t="shared" si="51"/>
        <v>0</v>
      </c>
      <c r="P78" s="74">
        <f t="shared" si="51"/>
        <v>0</v>
      </c>
      <c r="Q78" s="74">
        <f t="shared" si="51"/>
        <v>0</v>
      </c>
    </row>
    <row r="79" spans="2:17" x14ac:dyDescent="0.3">
      <c r="B79" s="54" t="s">
        <v>133</v>
      </c>
      <c r="C79" s="58">
        <f>'Manual Data'!C22</f>
        <v>0</v>
      </c>
      <c r="D79" s="58">
        <f>'Manual Data'!D22</f>
        <v>0</v>
      </c>
      <c r="E79" s="58">
        <f>'Manual Data'!E22</f>
        <v>0</v>
      </c>
      <c r="F79" s="58">
        <f>'Manual Data'!F22</f>
        <v>0</v>
      </c>
      <c r="G79" s="58">
        <f>'Manual Data'!G22</f>
        <v>0</v>
      </c>
      <c r="H79" s="58">
        <f>'Manual Data'!H22</f>
        <v>0</v>
      </c>
      <c r="I79" s="58">
        <f>'Manual Data'!I22</f>
        <v>0</v>
      </c>
      <c r="J79" s="58">
        <f>'Manual Data'!J22</f>
        <v>0</v>
      </c>
      <c r="K79" s="58">
        <f>'Manual Data'!K22</f>
        <v>0</v>
      </c>
      <c r="L79" s="58">
        <f>'Manual Data'!L22</f>
        <v>0</v>
      </c>
      <c r="M79" s="74">
        <f t="shared" si="51"/>
        <v>0</v>
      </c>
      <c r="N79" s="74">
        <f t="shared" si="51"/>
        <v>0</v>
      </c>
      <c r="O79" s="74">
        <f t="shared" si="51"/>
        <v>0</v>
      </c>
      <c r="P79" s="74">
        <f t="shared" si="51"/>
        <v>0</v>
      </c>
      <c r="Q79" s="74">
        <f t="shared" si="51"/>
        <v>0</v>
      </c>
    </row>
    <row r="80" spans="2:17" x14ac:dyDescent="0.3">
      <c r="B80" s="54" t="s">
        <v>134</v>
      </c>
      <c r="C80" s="58">
        <f>'Manual Data'!C23</f>
        <v>161</v>
      </c>
      <c r="D80" s="58">
        <f>'Manual Data'!D23</f>
        <v>20</v>
      </c>
      <c r="E80" s="58">
        <f>'Manual Data'!E23</f>
        <v>73</v>
      </c>
      <c r="F80" s="58">
        <f>'Manual Data'!F23</f>
        <v>0</v>
      </c>
      <c r="G80" s="58">
        <f>'Manual Data'!G23</f>
        <v>0</v>
      </c>
      <c r="H80" s="58">
        <f>'Manual Data'!H23</f>
        <v>0</v>
      </c>
      <c r="I80" s="58">
        <f>'Manual Data'!I23</f>
        <v>0</v>
      </c>
      <c r="J80" s="58">
        <f>'Manual Data'!J23</f>
        <v>0</v>
      </c>
      <c r="K80" s="58">
        <f>'Manual Data'!K23</f>
        <v>0</v>
      </c>
      <c r="L80" s="58">
        <f>'Manual Data'!L23</f>
        <v>0</v>
      </c>
      <c r="M80" s="74">
        <f t="shared" si="51"/>
        <v>-39.722864402934192</v>
      </c>
      <c r="N80" s="74">
        <f t="shared" si="51"/>
        <v>-51.556311660897563</v>
      </c>
      <c r="O80" s="74">
        <f t="shared" si="51"/>
        <v>-63.389758918860935</v>
      </c>
      <c r="P80" s="74">
        <f t="shared" si="51"/>
        <v>-75.223206176824306</v>
      </c>
      <c r="Q80" s="74">
        <f t="shared" si="51"/>
        <v>-87.056653434787677</v>
      </c>
    </row>
    <row r="81" spans="2:17" x14ac:dyDescent="0.3">
      <c r="B81" s="54" t="s">
        <v>135</v>
      </c>
      <c r="C81" s="58">
        <f>'Manual Data'!C24</f>
        <v>0</v>
      </c>
      <c r="D81" s="58">
        <f>'Manual Data'!D24</f>
        <v>0</v>
      </c>
      <c r="E81" s="58">
        <f>'Manual Data'!E24</f>
        <v>0</v>
      </c>
      <c r="F81" s="58">
        <f>'Manual Data'!F24</f>
        <v>0</v>
      </c>
      <c r="G81" s="58">
        <f>'Manual Data'!G24</f>
        <v>0</v>
      </c>
      <c r="H81" s="58">
        <f>'Manual Data'!H24</f>
        <v>0</v>
      </c>
      <c r="I81" s="58">
        <f>'Manual Data'!I24</f>
        <v>0</v>
      </c>
      <c r="J81" s="58">
        <f>'Manual Data'!J24</f>
        <v>-334</v>
      </c>
      <c r="K81" s="58">
        <f>'Manual Data'!K24</f>
        <v>0</v>
      </c>
      <c r="L81" s="58">
        <f>'Manual Data'!L24</f>
        <v>0</v>
      </c>
      <c r="M81" s="74">
        <f t="shared" si="51"/>
        <v>-89.038214608706994</v>
      </c>
      <c r="N81" s="74">
        <f t="shared" si="51"/>
        <v>-99.148210293566763</v>
      </c>
      <c r="O81" s="74">
        <f t="shared" si="51"/>
        <v>-109.25820597842676</v>
      </c>
      <c r="P81" s="74">
        <f t="shared" si="51"/>
        <v>-119.36820166328653</v>
      </c>
      <c r="Q81" s="74">
        <f t="shared" si="51"/>
        <v>-129.47819734814652</v>
      </c>
    </row>
    <row r="82" spans="2:17" x14ac:dyDescent="0.3">
      <c r="B82" s="54" t="s">
        <v>136</v>
      </c>
      <c r="C82" s="58">
        <f>'Manual Data'!C25</f>
        <v>-351</v>
      </c>
      <c r="D82" s="58">
        <f>'Manual Data'!D25</f>
        <v>597</v>
      </c>
      <c r="E82" s="58">
        <f>'Manual Data'!E25</f>
        <v>-1612</v>
      </c>
      <c r="F82" s="58">
        <f>'Manual Data'!F25</f>
        <v>-300</v>
      </c>
      <c r="G82" s="58">
        <f>'Manual Data'!G25</f>
        <v>649</v>
      </c>
      <c r="H82" s="58">
        <f>'Manual Data'!H25</f>
        <v>3994</v>
      </c>
      <c r="I82" s="58">
        <f>'Manual Data'!I25</f>
        <v>-101</v>
      </c>
      <c r="J82" s="58">
        <f>'Manual Data'!J25</f>
        <v>-1213</v>
      </c>
      <c r="K82" s="58">
        <f>'Manual Data'!K25</f>
        <v>-2804</v>
      </c>
      <c r="L82" s="58">
        <f>'Manual Data'!L25</f>
        <v>5870</v>
      </c>
      <c r="M82" s="74">
        <f t="shared" si="51"/>
        <v>1743.6418860932245</v>
      </c>
      <c r="N82" s="74">
        <f t="shared" si="51"/>
        <v>1974.5478394083148</v>
      </c>
      <c r="O82" s="74">
        <f t="shared" si="51"/>
        <v>2205.4537927234087</v>
      </c>
      <c r="P82" s="74">
        <f t="shared" si="51"/>
        <v>2436.359746038499</v>
      </c>
      <c r="Q82" s="74">
        <f t="shared" si="51"/>
        <v>2667.2656993535929</v>
      </c>
    </row>
    <row r="83" spans="2:17" x14ac:dyDescent="0.3">
      <c r="B83" s="55" t="s">
        <v>148</v>
      </c>
      <c r="C83" s="57">
        <f>SUM(C72:C82)</f>
        <v>-282</v>
      </c>
      <c r="D83" s="57">
        <f t="shared" ref="D83:L83" si="52">SUM(D72:D82)</f>
        <v>-1173</v>
      </c>
      <c r="E83" s="57">
        <f t="shared" si="52"/>
        <v>-1063</v>
      </c>
      <c r="F83" s="57">
        <f t="shared" si="52"/>
        <v>-438</v>
      </c>
      <c r="G83" s="57">
        <f t="shared" si="52"/>
        <v>1791</v>
      </c>
      <c r="H83" s="57">
        <f t="shared" si="52"/>
        <v>-1228</v>
      </c>
      <c r="I83" s="57">
        <f t="shared" si="52"/>
        <v>-1728</v>
      </c>
      <c r="J83" s="57">
        <f t="shared" si="52"/>
        <v>-1484</v>
      </c>
      <c r="K83" s="57">
        <f t="shared" si="52"/>
        <v>-5324</v>
      </c>
      <c r="L83" s="57">
        <f t="shared" si="52"/>
        <v>6473</v>
      </c>
      <c r="M83" s="76">
        <f t="shared" si="51"/>
        <v>312.56636211844307</v>
      </c>
      <c r="N83" s="76">
        <f t="shared" si="51"/>
        <v>450.33244076295523</v>
      </c>
      <c r="O83" s="76">
        <f t="shared" si="51"/>
        <v>588.09851940746739</v>
      </c>
      <c r="P83" s="76">
        <f t="shared" si="51"/>
        <v>725.86459805197956</v>
      </c>
      <c r="Q83" s="76">
        <f t="shared" si="51"/>
        <v>863.63067669649172</v>
      </c>
    </row>
    <row r="84" spans="2:17" x14ac:dyDescent="0.3">
      <c r="B84" s="54"/>
      <c r="M84" s="68"/>
      <c r="N84" s="68"/>
      <c r="O84" s="68"/>
      <c r="P84" s="68"/>
      <c r="Q84" s="68"/>
    </row>
    <row r="85" spans="2:17" x14ac:dyDescent="0.3">
      <c r="B85" s="53" t="s">
        <v>149</v>
      </c>
      <c r="M85" s="68"/>
      <c r="N85" s="68"/>
      <c r="O85" s="68"/>
      <c r="P85" s="68"/>
      <c r="Q85" s="68"/>
    </row>
    <row r="86" spans="2:17" x14ac:dyDescent="0.3">
      <c r="B86" s="54" t="s">
        <v>138</v>
      </c>
      <c r="C86" s="58">
        <f>'Manual Data'!C27</f>
        <v>0</v>
      </c>
      <c r="D86" s="58">
        <f>'Manual Data'!D27</f>
        <v>0</v>
      </c>
      <c r="E86" s="58">
        <f>'Manual Data'!E27</f>
        <v>0</v>
      </c>
      <c r="F86" s="58">
        <f>'Manual Data'!F27</f>
        <v>0</v>
      </c>
      <c r="G86" s="58">
        <f>'Manual Data'!G27</f>
        <v>0</v>
      </c>
      <c r="H86" s="58">
        <f>'Manual Data'!H27</f>
        <v>0</v>
      </c>
      <c r="I86" s="58">
        <f>'Manual Data'!I27</f>
        <v>0</v>
      </c>
      <c r="J86" s="58">
        <f>'Manual Data'!J27</f>
        <v>0</v>
      </c>
      <c r="K86" s="58">
        <f>'Manual Data'!K27</f>
        <v>0</v>
      </c>
      <c r="L86" s="58">
        <f>'Manual Data'!L27</f>
        <v>0</v>
      </c>
      <c r="M86" s="74">
        <f t="shared" ref="M86:Q95" si="53">FORECAST(M$3,$C86:$L86,$C$3:$L$3)</f>
        <v>0</v>
      </c>
      <c r="N86" s="74">
        <f t="shared" si="53"/>
        <v>0</v>
      </c>
      <c r="O86" s="74">
        <f t="shared" si="53"/>
        <v>0</v>
      </c>
      <c r="P86" s="74">
        <f t="shared" si="53"/>
        <v>0</v>
      </c>
      <c r="Q86" s="74">
        <f t="shared" si="53"/>
        <v>0</v>
      </c>
    </row>
    <row r="87" spans="2:17" x14ac:dyDescent="0.3">
      <c r="B87" s="54" t="s">
        <v>139</v>
      </c>
      <c r="C87" s="58">
        <f>'Manual Data'!C28</f>
        <v>177</v>
      </c>
      <c r="D87" s="58">
        <f>'Manual Data'!D28</f>
        <v>460</v>
      </c>
      <c r="E87" s="58">
        <f>'Manual Data'!E28</f>
        <v>0</v>
      </c>
      <c r="F87" s="58">
        <f>'Manual Data'!F28</f>
        <v>99</v>
      </c>
      <c r="G87" s="58">
        <f>'Manual Data'!G28</f>
        <v>0</v>
      </c>
      <c r="H87" s="58">
        <f>'Manual Data'!H28</f>
        <v>188</v>
      </c>
      <c r="I87" s="58">
        <f>'Manual Data'!I28</f>
        <v>55</v>
      </c>
      <c r="J87" s="58">
        <f>'Manual Data'!J28</f>
        <v>286</v>
      </c>
      <c r="K87" s="58">
        <f>'Manual Data'!K28</f>
        <v>0</v>
      </c>
      <c r="L87" s="58">
        <f>'Manual Data'!L28</f>
        <v>0</v>
      </c>
      <c r="M87" s="74">
        <f t="shared" si="53"/>
        <v>15.592816968558509</v>
      </c>
      <c r="N87" s="74">
        <f t="shared" si="53"/>
        <v>-4.5600788379215373</v>
      </c>
      <c r="O87" s="74">
        <f t="shared" si="53"/>
        <v>-24.712974644401129</v>
      </c>
      <c r="P87" s="74">
        <f t="shared" si="53"/>
        <v>-44.865870450881175</v>
      </c>
      <c r="Q87" s="74">
        <f t="shared" si="53"/>
        <v>-65.018766257361222</v>
      </c>
    </row>
    <row r="88" spans="2:17" x14ac:dyDescent="0.3">
      <c r="B88" s="54" t="s">
        <v>140</v>
      </c>
      <c r="C88" s="58">
        <f>'Manual Data'!C29</f>
        <v>0</v>
      </c>
      <c r="D88" s="58">
        <f>'Manual Data'!D29</f>
        <v>-360</v>
      </c>
      <c r="E88" s="58">
        <f>'Manual Data'!E29</f>
        <v>-277</v>
      </c>
      <c r="F88" s="58">
        <f>'Manual Data'!F29</f>
        <v>0</v>
      </c>
      <c r="G88" s="58">
        <f>'Manual Data'!G29</f>
        <v>-99</v>
      </c>
      <c r="H88" s="58">
        <f>'Manual Data'!H29</f>
        <v>-188</v>
      </c>
      <c r="I88" s="58">
        <f>'Manual Data'!I29</f>
        <v>-55</v>
      </c>
      <c r="J88" s="58">
        <f>'Manual Data'!J29</f>
        <v>-208</v>
      </c>
      <c r="K88" s="58">
        <f>'Manual Data'!K29</f>
        <v>-85</v>
      </c>
      <c r="L88" s="58">
        <f>'Manual Data'!L29</f>
        <v>0</v>
      </c>
      <c r="M88" s="74">
        <f t="shared" si="53"/>
        <v>-59.99474845148211</v>
      </c>
      <c r="N88" s="74">
        <f t="shared" si="53"/>
        <v>-47.782911534466621</v>
      </c>
      <c r="O88" s="74">
        <f t="shared" si="53"/>
        <v>-35.571074617451131</v>
      </c>
      <c r="P88" s="74">
        <f t="shared" si="53"/>
        <v>-23.359237700435642</v>
      </c>
      <c r="Q88" s="74">
        <f t="shared" si="53"/>
        <v>-11.147400783419926</v>
      </c>
    </row>
    <row r="89" spans="2:17" x14ac:dyDescent="0.3">
      <c r="B89" s="54" t="s">
        <v>141</v>
      </c>
      <c r="C89" s="58">
        <f>'Manual Data'!C30</f>
        <v>-2</v>
      </c>
      <c r="D89" s="58">
        <f>'Manual Data'!D30</f>
        <v>-14</v>
      </c>
      <c r="E89" s="58">
        <f>'Manual Data'!E30</f>
        <v>-6</v>
      </c>
      <c r="F89" s="58">
        <f>'Manual Data'!F30</f>
        <v>-7</v>
      </c>
      <c r="G89" s="58">
        <f>'Manual Data'!G30</f>
        <v>-90</v>
      </c>
      <c r="H89" s="58">
        <f>'Manual Data'!H30</f>
        <v>-92</v>
      </c>
      <c r="I89" s="58">
        <f>'Manual Data'!I30</f>
        <v>-82</v>
      </c>
      <c r="J89" s="58">
        <f>'Manual Data'!J30</f>
        <v>-88</v>
      </c>
      <c r="K89" s="58">
        <f>'Manual Data'!K30</f>
        <v>-110</v>
      </c>
      <c r="L89" s="58">
        <f>'Manual Data'!L30</f>
        <v>-130</v>
      </c>
      <c r="M89" s="74">
        <f t="shared" si="53"/>
        <v>-144.13461714332425</v>
      </c>
      <c r="N89" s="74">
        <f t="shared" si="53"/>
        <v>-159.04109160805933</v>
      </c>
      <c r="O89" s="74">
        <f t="shared" si="53"/>
        <v>-173.94756607279442</v>
      </c>
      <c r="P89" s="74">
        <f t="shared" si="53"/>
        <v>-188.85404053752973</v>
      </c>
      <c r="Q89" s="74">
        <f t="shared" si="53"/>
        <v>-203.76051500226481</v>
      </c>
    </row>
    <row r="90" spans="2:17" x14ac:dyDescent="0.3">
      <c r="B90" s="54" t="s">
        <v>142</v>
      </c>
      <c r="C90" s="58">
        <f>'Manual Data'!C31</f>
        <v>-3354</v>
      </c>
      <c r="D90" s="58">
        <f>'Manual Data'!D31</f>
        <v>-3572</v>
      </c>
      <c r="E90" s="58">
        <f>'Manual Data'!E31</f>
        <v>-3911</v>
      </c>
      <c r="F90" s="58">
        <f>'Manual Data'!F31</f>
        <v>-4554</v>
      </c>
      <c r="G90" s="58">
        <f>'Manual Data'!G31</f>
        <v>-5196</v>
      </c>
      <c r="H90" s="58">
        <f>'Manual Data'!H31</f>
        <v>-8811</v>
      </c>
      <c r="I90" s="58">
        <f>'Manual Data'!I31</f>
        <v>-7526</v>
      </c>
      <c r="J90" s="58">
        <f>'Manual Data'!J31</f>
        <v>-8474</v>
      </c>
      <c r="K90" s="58">
        <f>'Manual Data'!K31</f>
        <v>-9416</v>
      </c>
      <c r="L90" s="58">
        <f>'Manual Data'!L31</f>
        <v>-12473</v>
      </c>
      <c r="M90" s="74">
        <f t="shared" si="53"/>
        <v>-12005.98888450941</v>
      </c>
      <c r="N90" s="74">
        <f t="shared" si="53"/>
        <v>-12964.922743645147</v>
      </c>
      <c r="O90" s="74">
        <f t="shared" si="53"/>
        <v>-13923.85660278087</v>
      </c>
      <c r="P90" s="74">
        <f t="shared" si="53"/>
        <v>-14882.790461916607</v>
      </c>
      <c r="Q90" s="74">
        <f t="shared" si="53"/>
        <v>-15841.72432105233</v>
      </c>
    </row>
    <row r="91" spans="2:17" x14ac:dyDescent="0.3">
      <c r="B91" s="54" t="s">
        <v>143</v>
      </c>
      <c r="C91" s="58">
        <f>'Manual Data'!C32</f>
        <v>0</v>
      </c>
      <c r="D91" s="58">
        <f>'Manual Data'!D32</f>
        <v>0</v>
      </c>
      <c r="E91" s="58">
        <f>'Manual Data'!E32</f>
        <v>0</v>
      </c>
      <c r="F91" s="58">
        <f>'Manual Data'!F32</f>
        <v>0</v>
      </c>
      <c r="G91" s="58">
        <f>'Manual Data'!G32</f>
        <v>-373</v>
      </c>
      <c r="H91" s="58">
        <f>'Manual Data'!H32</f>
        <v>-406</v>
      </c>
      <c r="I91" s="58">
        <f>'Manual Data'!I32</f>
        <v>-407</v>
      </c>
      <c r="J91" s="58">
        <f>'Manual Data'!J32</f>
        <v>-467</v>
      </c>
      <c r="K91" s="58">
        <f>'Manual Data'!K32</f>
        <v>-423</v>
      </c>
      <c r="L91" s="58">
        <f>'Manual Data'!L32</f>
        <v>-498</v>
      </c>
      <c r="M91" s="74">
        <f t="shared" si="53"/>
        <v>-625.12689424097698</v>
      </c>
      <c r="N91" s="74">
        <f t="shared" si="53"/>
        <v>-691.946387643653</v>
      </c>
      <c r="O91" s="74">
        <f t="shared" si="53"/>
        <v>-758.76588104632901</v>
      </c>
      <c r="P91" s="74">
        <f t="shared" si="53"/>
        <v>-825.58537444900685</v>
      </c>
      <c r="Q91" s="74">
        <f t="shared" si="53"/>
        <v>-892.40486785168287</v>
      </c>
    </row>
    <row r="92" spans="2:17" x14ac:dyDescent="0.3">
      <c r="B92" s="54" t="s">
        <v>144</v>
      </c>
      <c r="C92" s="58">
        <f>'Manual Data'!C33</f>
        <v>-685</v>
      </c>
      <c r="D92" s="58">
        <f>'Manual Data'!D33</f>
        <v>-728</v>
      </c>
      <c r="E92" s="58">
        <f>'Manual Data'!E33</f>
        <v>-781</v>
      </c>
      <c r="F92" s="58">
        <f>'Manual Data'!F33</f>
        <v>-928</v>
      </c>
      <c r="G92" s="58">
        <f>'Manual Data'!G33</f>
        <v>-1061</v>
      </c>
      <c r="H92" s="58">
        <f>'Manual Data'!H33</f>
        <v>0</v>
      </c>
      <c r="I92" s="58">
        <f>'Manual Data'!I33</f>
        <v>0</v>
      </c>
      <c r="J92" s="58">
        <f>'Manual Data'!J33</f>
        <v>-2</v>
      </c>
      <c r="K92" s="58">
        <f>'Manual Data'!K33</f>
        <v>0</v>
      </c>
      <c r="L92" s="58">
        <f>'Manual Data'!L33</f>
        <v>0</v>
      </c>
      <c r="M92" s="74">
        <f t="shared" si="53"/>
        <v>214.82127172270339</v>
      </c>
      <c r="N92" s="74">
        <f t="shared" si="53"/>
        <v>329.90180349887123</v>
      </c>
      <c r="O92" s="74">
        <f t="shared" si="53"/>
        <v>444.98233527503726</v>
      </c>
      <c r="P92" s="74">
        <f t="shared" si="53"/>
        <v>560.0628670512051</v>
      </c>
      <c r="Q92" s="74">
        <f t="shared" si="53"/>
        <v>675.14339882737295</v>
      </c>
    </row>
    <row r="93" spans="2:17" x14ac:dyDescent="0.3">
      <c r="B93" s="55" t="s">
        <v>150</v>
      </c>
      <c r="C93" s="57">
        <f>SUM(C86:C92)</f>
        <v>-3864</v>
      </c>
      <c r="D93" s="57">
        <f t="shared" ref="D93:L93" si="54">SUM(D86:D92)</f>
        <v>-4214</v>
      </c>
      <c r="E93" s="57">
        <f t="shared" si="54"/>
        <v>-4975</v>
      </c>
      <c r="F93" s="57">
        <f t="shared" si="54"/>
        <v>-5390</v>
      </c>
      <c r="G93" s="57">
        <f t="shared" si="54"/>
        <v>-6819</v>
      </c>
      <c r="H93" s="57">
        <f t="shared" si="54"/>
        <v>-9309</v>
      </c>
      <c r="I93" s="57">
        <f t="shared" si="54"/>
        <v>-8015</v>
      </c>
      <c r="J93" s="57">
        <f t="shared" si="54"/>
        <v>-8953</v>
      </c>
      <c r="K93" s="57">
        <f t="shared" si="54"/>
        <v>-10034</v>
      </c>
      <c r="L93" s="57">
        <f t="shared" si="54"/>
        <v>-13101</v>
      </c>
      <c r="M93" s="76">
        <f t="shared" si="53"/>
        <v>-12604.831055653936</v>
      </c>
      <c r="N93" s="76">
        <f t="shared" si="53"/>
        <v>-13538.351409770374</v>
      </c>
      <c r="O93" s="76">
        <f t="shared" si="53"/>
        <v>-14471.871763886826</v>
      </c>
      <c r="P93" s="76">
        <f t="shared" si="53"/>
        <v>-15405.392118003263</v>
      </c>
      <c r="Q93" s="76">
        <f t="shared" si="53"/>
        <v>-16338.9124721197</v>
      </c>
    </row>
    <row r="94" spans="2:17" x14ac:dyDescent="0.3">
      <c r="B94"/>
      <c r="M94" s="74"/>
      <c r="N94" s="74"/>
      <c r="O94" s="74"/>
      <c r="P94" s="74"/>
      <c r="Q94" s="74"/>
    </row>
    <row r="95" spans="2:17" x14ac:dyDescent="0.3">
      <c r="B95" s="56" t="s">
        <v>35</v>
      </c>
      <c r="C95" s="59">
        <f>SUM(C93,C83,C69)</f>
        <v>-56</v>
      </c>
      <c r="D95" s="59">
        <f t="shared" ref="D95:L95" si="55">SUM(D93,D83,D69)</f>
        <v>410</v>
      </c>
      <c r="E95" s="59">
        <f t="shared" si="55"/>
        <v>857</v>
      </c>
      <c r="F95" s="59">
        <f t="shared" si="55"/>
        <v>-370</v>
      </c>
      <c r="G95" s="59">
        <f t="shared" si="55"/>
        <v>3006</v>
      </c>
      <c r="H95" s="59">
        <f t="shared" si="55"/>
        <v>-1475</v>
      </c>
      <c r="I95" s="59">
        <f t="shared" si="55"/>
        <v>-1695</v>
      </c>
      <c r="J95" s="59">
        <f t="shared" si="55"/>
        <v>-1406</v>
      </c>
      <c r="K95" s="59">
        <f t="shared" si="55"/>
        <v>1424</v>
      </c>
      <c r="L95" s="59">
        <f t="shared" si="55"/>
        <v>4470</v>
      </c>
      <c r="M95" s="75">
        <f t="shared" si="53"/>
        <v>1452.2945112800553</v>
      </c>
      <c r="N95" s="75">
        <f t="shared" si="53"/>
        <v>1622.3373233561324</v>
      </c>
      <c r="O95" s="75">
        <f t="shared" si="53"/>
        <v>1792.3801354322131</v>
      </c>
      <c r="P95" s="75">
        <f t="shared" si="53"/>
        <v>1962.4229475082939</v>
      </c>
      <c r="Q95" s="75">
        <f t="shared" si="53"/>
        <v>2132.465759584371</v>
      </c>
    </row>
    <row r="96" spans="2:17" x14ac:dyDescent="0.3">
      <c r="M96" s="63"/>
      <c r="N96" s="63"/>
      <c r="O96" s="63"/>
      <c r="P96" s="63"/>
      <c r="Q96" s="63"/>
    </row>
    <row r="97" spans="13:17" x14ac:dyDescent="0.3">
      <c r="M97" s="63"/>
      <c r="N97" s="63"/>
      <c r="O97" s="63"/>
      <c r="P97" s="63"/>
      <c r="Q97" s="63"/>
    </row>
    <row r="98" spans="13:17" x14ac:dyDescent="0.3">
      <c r="M98" s="63"/>
      <c r="N98" s="63"/>
      <c r="O98" s="63"/>
      <c r="P98" s="63"/>
      <c r="Q98" s="63"/>
    </row>
    <row r="99" spans="13:17" x14ac:dyDescent="0.3">
      <c r="M99" s="63"/>
      <c r="N99" s="63"/>
      <c r="O99" s="63"/>
      <c r="P99" s="63"/>
      <c r="Q99" s="63"/>
    </row>
    <row r="100" spans="13:17" x14ac:dyDescent="0.3">
      <c r="M100" s="63"/>
      <c r="N100" s="63"/>
      <c r="O100" s="63"/>
      <c r="P100" s="63"/>
      <c r="Q100" s="63"/>
    </row>
    <row r="101" spans="13:17" x14ac:dyDescent="0.3">
      <c r="M101" s="63"/>
      <c r="N101" s="63"/>
      <c r="O101" s="63"/>
      <c r="P101" s="63"/>
      <c r="Q101" s="63"/>
    </row>
    <row r="102" spans="13:17" x14ac:dyDescent="0.3">
      <c r="M102" s="63"/>
      <c r="N102" s="63"/>
      <c r="O102" s="63"/>
      <c r="P102" s="63"/>
      <c r="Q102" s="63"/>
    </row>
    <row r="103" spans="13:17" x14ac:dyDescent="0.3">
      <c r="M103" s="63"/>
      <c r="N103" s="63"/>
      <c r="O103" s="63"/>
      <c r="P103" s="63"/>
      <c r="Q103" s="63"/>
    </row>
    <row r="104" spans="13:17" x14ac:dyDescent="0.3">
      <c r="M104" s="63"/>
      <c r="N104" s="63"/>
      <c r="O104" s="63"/>
      <c r="P104" s="63"/>
      <c r="Q104" s="63"/>
    </row>
  </sheetData>
  <mergeCells count="1">
    <mergeCell ref="B2:Q2"/>
  </mergeCells>
  <pageMargins left="0.7" right="0.7" top="0.75" bottom="0.75" header="0.3" footer="0.3"/>
  <ignoredErrors>
    <ignoredError sqref="C14:L14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1D5A4-690D-4CCE-AB44-6868835F3C8B}">
  <dimension ref="B2:R40"/>
  <sheetViews>
    <sheetView showGridLines="0" workbookViewId="0">
      <pane ySplit="3" topLeftCell="A9" activePane="bottomLeft" state="frozen"/>
      <selection pane="bottomLeft" activeCell="E38" sqref="E38"/>
    </sheetView>
  </sheetViews>
  <sheetFormatPr defaultRowHeight="14.4" x14ac:dyDescent="0.3"/>
  <cols>
    <col min="1" max="1" width="1.88671875" customWidth="1"/>
    <col min="2" max="2" width="20" bestFit="1" customWidth="1"/>
    <col min="3" max="17" width="10.5546875" customWidth="1"/>
  </cols>
  <sheetData>
    <row r="2" spans="2:18" x14ac:dyDescent="0.3">
      <c r="B2" s="135" t="str">
        <f>"Ratio Analysis for "&amp;'Data Sheet'!$B$1</f>
        <v>Ratio Analysis for HINDUSTAN UNILEVER LTD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</row>
    <row r="3" spans="2:18" x14ac:dyDescent="0.3">
      <c r="B3" s="31" t="s">
        <v>93</v>
      </c>
      <c r="C3" s="65">
        <f>'Data Sheet'!B16</f>
        <v>42460</v>
      </c>
      <c r="D3" s="65">
        <f>'Data Sheet'!C16</f>
        <v>42825</v>
      </c>
      <c r="E3" s="65">
        <f>'Data Sheet'!D16</f>
        <v>43190</v>
      </c>
      <c r="F3" s="65">
        <f>'Data Sheet'!E16</f>
        <v>43555</v>
      </c>
      <c r="G3" s="65">
        <f>'Data Sheet'!F16</f>
        <v>43921</v>
      </c>
      <c r="H3" s="65">
        <f>'Data Sheet'!G16</f>
        <v>44286</v>
      </c>
      <c r="I3" s="65">
        <f>'Data Sheet'!H16</f>
        <v>44651</v>
      </c>
      <c r="J3" s="65">
        <f>'Data Sheet'!I16</f>
        <v>45016</v>
      </c>
      <c r="K3" s="65">
        <f>'Data Sheet'!J16</f>
        <v>45382</v>
      </c>
      <c r="L3" s="65">
        <f>'Data Sheet'!K16</f>
        <v>45747</v>
      </c>
      <c r="M3" s="66">
        <f>'Data Sheet'!K56+365</f>
        <v>46112</v>
      </c>
      <c r="N3" s="66">
        <f>M3+365</f>
        <v>46477</v>
      </c>
      <c r="O3" s="66">
        <f t="shared" ref="O3:Q3" si="0">N3+365</f>
        <v>46842</v>
      </c>
      <c r="P3" s="66">
        <f t="shared" si="0"/>
        <v>47207</v>
      </c>
      <c r="Q3" s="66">
        <f t="shared" si="0"/>
        <v>47572</v>
      </c>
      <c r="R3" s="64"/>
    </row>
    <row r="4" spans="2:18" x14ac:dyDescent="0.3">
      <c r="B4" s="70" t="s">
        <v>151</v>
      </c>
    </row>
    <row r="5" spans="2:18" x14ac:dyDescent="0.3">
      <c r="B5" t="s">
        <v>152</v>
      </c>
      <c r="C5" s="5">
        <f>'Historical FS'!C12</f>
        <v>0.43385322811160132</v>
      </c>
      <c r="D5" s="5">
        <f>'Historical FS'!D12</f>
        <v>0.43685543694590195</v>
      </c>
      <c r="E5" s="5">
        <f>'Historical FS'!E12</f>
        <v>0.45663243775495849</v>
      </c>
      <c r="F5" s="5">
        <f>'Historical FS'!F12</f>
        <v>0.46372424319511574</v>
      </c>
      <c r="G5" s="5">
        <f>'Historical FS'!G12</f>
        <v>0.48183897644722617</v>
      </c>
      <c r="H5" s="5">
        <f>'Historical FS'!H12</f>
        <v>0.46200136089138388</v>
      </c>
      <c r="I5" s="5">
        <f>'Historical FS'!I12</f>
        <v>0.44579186210578498</v>
      </c>
      <c r="J5" s="5">
        <f>'Historical FS'!J12</f>
        <v>0.41596236381644108</v>
      </c>
      <c r="K5" s="5">
        <f>'Historical FS'!K12</f>
        <v>0.45632997285769678</v>
      </c>
      <c r="L5" s="5">
        <f>'Historical FS'!L12</f>
        <v>0.45297127738787407</v>
      </c>
      <c r="M5" s="77">
        <f>'Historical FS'!M12</f>
        <v>0.44879569679547515</v>
      </c>
      <c r="N5" s="77">
        <f>'Historical FS'!N12</f>
        <v>0.44866792430662056</v>
      </c>
      <c r="O5" s="77">
        <f>'Historical FS'!O12</f>
        <v>0.44855339833158425</v>
      </c>
      <c r="P5" s="77">
        <f>'Historical FS'!P12</f>
        <v>0.4484501604364069</v>
      </c>
      <c r="Q5" s="77">
        <f>'Historical FS'!Q12</f>
        <v>0.44835662011516725</v>
      </c>
    </row>
    <row r="6" spans="2:18" x14ac:dyDescent="0.3">
      <c r="B6" t="s">
        <v>102</v>
      </c>
      <c r="C6" s="5">
        <f>'Historical FS'!C17</f>
        <v>0.18362020754365252</v>
      </c>
      <c r="D6" s="5">
        <f>'Historical FS'!D17</f>
        <v>0.1908208190097099</v>
      </c>
      <c r="E6" s="5">
        <f>'Historical FS'!E17</f>
        <v>0.21097200731467156</v>
      </c>
      <c r="F6" s="5">
        <f>'Historical FS'!F17</f>
        <v>0.2258967183922666</v>
      </c>
      <c r="G6" s="5">
        <f>'Historical FS'!G17</f>
        <v>0.24786969308498605</v>
      </c>
      <c r="H6" s="5">
        <f>'Historical FS'!H17</f>
        <v>0.24721442544866887</v>
      </c>
      <c r="I6" s="5">
        <f>'Historical FS'!I17</f>
        <v>0.24514738969606834</v>
      </c>
      <c r="J6" s="5">
        <f>'Historical FS'!J17</f>
        <v>0.23352591614394189</v>
      </c>
      <c r="K6" s="5">
        <f>'Historical FS'!K17</f>
        <v>0.23683275171255008</v>
      </c>
      <c r="L6" s="5">
        <f>'Historical FS'!L17</f>
        <v>0.23515153435465216</v>
      </c>
      <c r="M6" s="77">
        <f>'Historical FS'!M17</f>
        <v>0.24699018723728747</v>
      </c>
      <c r="N6" s="77">
        <f>'Historical FS'!N17</f>
        <v>0.2490687429669817</v>
      </c>
      <c r="O6" s="77">
        <f>'Historical FS'!O17</f>
        <v>0.25093180929482994</v>
      </c>
      <c r="P6" s="77">
        <f>'Historical FS'!P17</f>
        <v>0.2526112453022677</v>
      </c>
      <c r="Q6" s="77">
        <f>'Historical FS'!Q17</f>
        <v>0.25413292475308624</v>
      </c>
    </row>
    <row r="7" spans="2:18" x14ac:dyDescent="0.3">
      <c r="B7" t="s">
        <v>105</v>
      </c>
      <c r="C7" s="5">
        <f>'Historical FS'!C22</f>
        <v>0.17265270614552911</v>
      </c>
      <c r="D7" s="5">
        <f>'Historical FS'!D22</f>
        <v>0.17779386044267534</v>
      </c>
      <c r="E7" s="5">
        <f>'Historical FS'!E22</f>
        <v>0.19634266422844282</v>
      </c>
      <c r="F7" s="5">
        <f>'Historical FS'!F22</f>
        <v>0.21152378529636226</v>
      </c>
      <c r="G7" s="5">
        <f>'Historical FS'!G22</f>
        <v>0.22268305557650253</v>
      </c>
      <c r="H7" s="5">
        <f>'Historical FS'!H22</f>
        <v>0.22437696691332823</v>
      </c>
      <c r="I7" s="5">
        <f>'Historical FS'!I22</f>
        <v>0.22434504061320215</v>
      </c>
      <c r="J7" s="5">
        <f>'Historical FS'!J22</f>
        <v>0.21475734565863322</v>
      </c>
      <c r="K7" s="5">
        <f>'Historical FS'!K22</f>
        <v>0.21718689414501746</v>
      </c>
      <c r="L7" s="5">
        <f>'Historical FS'!L22</f>
        <v>0.21368482755342913</v>
      </c>
      <c r="M7" s="77">
        <f>'Historical FS'!M22</f>
        <v>0.22476917084353656</v>
      </c>
      <c r="N7" s="77">
        <f>'Historical FS'!N22</f>
        <v>0.2264475932673847</v>
      </c>
      <c r="O7" s="77">
        <f>'Historical FS'!O22</f>
        <v>0.22795200917363348</v>
      </c>
      <c r="P7" s="77">
        <f>'Historical FS'!P22</f>
        <v>0.22930814459691456</v>
      </c>
      <c r="Q7" s="77">
        <f>'Historical FS'!Q22</f>
        <v>0.23053689246047945</v>
      </c>
    </row>
    <row r="8" spans="2:18" x14ac:dyDescent="0.3">
      <c r="B8" t="s">
        <v>108</v>
      </c>
      <c r="C8" s="5">
        <f>'Historical FS'!C32</f>
        <v>0.11386938420431243</v>
      </c>
      <c r="D8" s="5">
        <f>'Historical FS'!D32</f>
        <v>0.11712200711657922</v>
      </c>
      <c r="E8" s="5">
        <f>'Historical FS'!E32</f>
        <v>0.1371219580813054</v>
      </c>
      <c r="F8" s="5">
        <f>'Historical FS'!F32</f>
        <v>0.14596794708725516</v>
      </c>
      <c r="G8" s="5">
        <f>'Historical FS'!G32</f>
        <v>0.15916346178015736</v>
      </c>
      <c r="H8" s="5">
        <f>'Historical FS'!H32</f>
        <v>0.16647529131581185</v>
      </c>
      <c r="I8" s="5">
        <f>'Historical FS'!I32</f>
        <v>0.16537009495481067</v>
      </c>
      <c r="J8" s="5">
        <f>'Historical FS'!J32</f>
        <v>0.16003631561571477</v>
      </c>
      <c r="K8" s="5">
        <f>'Historical FS'!K32</f>
        <v>0.15291779759596744</v>
      </c>
      <c r="L8" s="5">
        <f>'Historical FS'!L32</f>
        <v>0.14811235563441644</v>
      </c>
      <c r="M8" s="77">
        <f>'Historical FS'!M32</f>
        <v>0.16278049332767722</v>
      </c>
      <c r="N8" s="77">
        <f>'Historical FS'!N32</f>
        <v>0.16434125367815897</v>
      </c>
      <c r="O8" s="77">
        <f>'Historical FS'!O32</f>
        <v>0.16574020585119065</v>
      </c>
      <c r="P8" s="77">
        <f>'Historical FS'!P32</f>
        <v>0.1670012724149274</v>
      </c>
      <c r="Q8" s="77">
        <f>'Historical FS'!Q32</f>
        <v>0.16814388164067559</v>
      </c>
    </row>
    <row r="9" spans="2:18" x14ac:dyDescent="0.3">
      <c r="B9" t="s">
        <v>153</v>
      </c>
      <c r="C9" s="5">
        <f>'Historical FS'!C31/'Historical FS'!C54</f>
        <v>0.24775231528425606</v>
      </c>
      <c r="D9" s="5">
        <f>'Historical FS'!D31/'Historical FS'!D54</f>
        <v>0.24729402776009168</v>
      </c>
      <c r="E9" s="5">
        <f>'Historical FS'!E31/'Historical FS'!E54</f>
        <v>0.27286977941999774</v>
      </c>
      <c r="F9" s="5">
        <f>'Historical FS'!F31/'Historical FS'!F54</f>
        <v>0.30801438617209725</v>
      </c>
      <c r="G9" s="5">
        <f>'Historical FS'!G31/'Historical FS'!G54</f>
        <v>0.31419639755867612</v>
      </c>
      <c r="H9" s="5">
        <f>'Historical FS'!H31/'Historical FS'!H54</f>
        <v>0.11389292988070993</v>
      </c>
      <c r="I9" s="5">
        <f>'Historical FS'!I31/'Historical FS'!I54</f>
        <v>0.12301080759084333</v>
      </c>
      <c r="J9" s="5">
        <f>'Historical FS'!J31/'Historical FS'!J54</f>
        <v>0.13266828140180906</v>
      </c>
      <c r="K9" s="5">
        <f>'Historical FS'!K31/'Historical FS'!K54</f>
        <v>0.12059014638993999</v>
      </c>
      <c r="L9" s="5">
        <f>'Historical FS'!L31/'Historical FS'!L54</f>
        <v>0.1170629703367016</v>
      </c>
      <c r="M9" s="77">
        <f>'Historical FS'!M31/'Historical FS'!M54</f>
        <v>0.1157201848987493</v>
      </c>
      <c r="N9" s="77">
        <f>'Historical FS'!N31/'Historical FS'!N54</f>
        <v>0.11286246167964901</v>
      </c>
      <c r="O9" s="77">
        <f>'Historical FS'!O31/'Historical FS'!O54</f>
        <v>0.11046107855741526</v>
      </c>
      <c r="P9" s="77">
        <f>'Historical FS'!P31/'Historical FS'!P54</f>
        <v>0.10841481057093302</v>
      </c>
      <c r="Q9" s="77">
        <f>'Historical FS'!Q31/'Historical FS'!Q54</f>
        <v>0.10665030972108563</v>
      </c>
    </row>
    <row r="10" spans="2:18" x14ac:dyDescent="0.3">
      <c r="B10" t="s">
        <v>59</v>
      </c>
      <c r="C10" s="5">
        <f>'Historical FS'!C31/SUM('Historical FS'!C36:C37)</f>
        <v>0.55758405598661187</v>
      </c>
      <c r="D10" s="5">
        <f>'Historical FS'!D31/SUM('Historical FS'!D36:D37)</f>
        <v>0.57591933570581255</v>
      </c>
      <c r="E10" s="5">
        <f>'Historical FS'!E31/SUM('Historical FS'!E36:E37)</f>
        <v>0.6694135420958659</v>
      </c>
      <c r="F10" s="5">
        <f>'Historical FS'!F31/SUM('Historical FS'!F36:F37)</f>
        <v>0.72937587390364811</v>
      </c>
      <c r="G10" s="5">
        <f>'Historical FS'!G31/SUM('Historical FS'!G36:G37)</f>
        <v>0.76947381212784061</v>
      </c>
      <c r="H10" s="5">
        <f>'Historical FS'!H31/SUM('Historical FS'!H36:H37)</f>
        <v>0.16421949070772329</v>
      </c>
      <c r="I10" s="5">
        <f>'Historical FS'!I31/SUM('Historical FS'!I36:I37)</f>
        <v>0.1767799270296162</v>
      </c>
      <c r="J10" s="5">
        <f>'Historical FS'!J31/SUM('Historical FS'!J36:J37)</f>
        <v>0.19272821246819338</v>
      </c>
      <c r="K10" s="5">
        <f>'Historical FS'!K31/SUM('Historical FS'!K36:K37)</f>
        <v>0.18479831309305322</v>
      </c>
      <c r="L10" s="5">
        <f>'Historical FS'!L31/SUM('Historical FS'!L36:L37)</f>
        <v>0.18924335047164081</v>
      </c>
      <c r="M10" s="77">
        <f>'Historical FS'!M31/SUM('Historical FS'!M36:M37)</f>
        <v>0.17279444425816359</v>
      </c>
      <c r="N10" s="77">
        <f>'Historical FS'!N31/SUM('Historical FS'!N36:N37)</f>
        <v>0.16756466016475438</v>
      </c>
      <c r="O10" s="77">
        <f>'Historical FS'!O31/SUM('Historical FS'!O36:O37)</f>
        <v>0.16321597683560773</v>
      </c>
      <c r="P10" s="77">
        <f>'Historical FS'!P31/SUM('Historical FS'!P36:P37)</f>
        <v>0.1595430258149122</v>
      </c>
      <c r="Q10" s="77">
        <f>'Historical FS'!Q31/SUM('Historical FS'!Q36:Q37)</f>
        <v>0.15639966093874544</v>
      </c>
    </row>
    <row r="11" spans="2:18" x14ac:dyDescent="0.3">
      <c r="M11" s="68"/>
      <c r="N11" s="68"/>
      <c r="O11" s="68"/>
      <c r="P11" s="68"/>
      <c r="Q11" s="68"/>
    </row>
    <row r="12" spans="2:18" x14ac:dyDescent="0.3">
      <c r="B12" s="70" t="s">
        <v>154</v>
      </c>
      <c r="M12" s="68"/>
      <c r="N12" s="68"/>
      <c r="O12" s="68"/>
      <c r="P12" s="68"/>
      <c r="Q12" s="68"/>
    </row>
    <row r="13" spans="2:18" x14ac:dyDescent="0.3">
      <c r="B13" t="s">
        <v>155</v>
      </c>
      <c r="C13" s="87">
        <f>'Historical FS'!C38/SUM('Historical FS'!C36:C37)</f>
        <v>2.6928343222272933E-2</v>
      </c>
      <c r="D13" s="87">
        <f>'Historical FS'!D38/SUM('Historical FS'!D36:D37)</f>
        <v>4.1073546856465006E-2</v>
      </c>
      <c r="E13" s="87">
        <f>'Historical FS'!E38/SUM('Historical FS'!E36:E37)</f>
        <v>0</v>
      </c>
      <c r="F13" s="87">
        <f>'Historical FS'!F38/SUM('Historical FS'!F36:F37)</f>
        <v>1.258421253336723E-2</v>
      </c>
      <c r="G13" s="87">
        <f>'Historical FS'!G38/SUM('Historical FS'!G36:G37)</f>
        <v>0</v>
      </c>
      <c r="H13" s="87">
        <f>'Historical FS'!H38/SUM('Historical FS'!H36:H37)</f>
        <v>0</v>
      </c>
      <c r="I13" s="87">
        <f>'Historical FS'!I38/SUM('Historical FS'!I36:I37)</f>
        <v>2.1259248690405821E-2</v>
      </c>
      <c r="J13" s="87">
        <f>'Historical FS'!J38/SUM('Historical FS'!J36:J37)</f>
        <v>2.4232665394402036E-2</v>
      </c>
      <c r="K13" s="87">
        <f>'Historical FS'!K38/SUM('Historical FS'!K36:K37)</f>
        <v>2.8974188761763442E-2</v>
      </c>
      <c r="L13" s="87">
        <f>'Historical FS'!L38/SUM('Historical FS'!L36:L37)</f>
        <v>3.3358973320918181E-2</v>
      </c>
      <c r="M13" s="92">
        <f>'Historical FS'!M38/SUM('Historical FS'!M36:M37)</f>
        <v>2.513317054767494E-2</v>
      </c>
      <c r="N13" s="92">
        <f>'Historical FS'!N38/SUM('Historical FS'!N36:N37)</f>
        <v>2.5441188368334377E-2</v>
      </c>
      <c r="O13" s="92">
        <f>'Historical FS'!O38/SUM('Historical FS'!O36:O37)</f>
        <v>2.5697312127529254E-2</v>
      </c>
      <c r="P13" s="92">
        <f>'Historical FS'!P38/SUM('Historical FS'!P36:P37)</f>
        <v>2.5913637380843107E-2</v>
      </c>
      <c r="Q13" s="92">
        <f>'Historical FS'!Q38/SUM('Historical FS'!Q36:Q37)</f>
        <v>2.6098771677288402E-2</v>
      </c>
      <c r="R13" s="87"/>
    </row>
    <row r="14" spans="2:18" x14ac:dyDescent="0.3">
      <c r="B14" t="s">
        <v>156</v>
      </c>
      <c r="C14" s="87">
        <f>'Historical FS'!C38/'Historical FS'!C54</f>
        <v>1.1965118637193267E-2</v>
      </c>
      <c r="D14" s="87">
        <f>'Historical FS'!D38/'Historical FS'!D54</f>
        <v>1.7636572010696547E-2</v>
      </c>
      <c r="E14" s="87">
        <f>'Historical FS'!E38/'Historical FS'!E54</f>
        <v>0</v>
      </c>
      <c r="F14" s="87">
        <f>'Historical FS'!F38/'Historical FS'!F54</f>
        <v>5.3142949165279939E-3</v>
      </c>
      <c r="G14" s="87">
        <f>'Historical FS'!G38/'Historical FS'!G54</f>
        <v>0</v>
      </c>
      <c r="H14" s="87">
        <f>'Historical FS'!H38/'Historical FS'!H54</f>
        <v>0</v>
      </c>
      <c r="I14" s="87">
        <f>'Historical FS'!I38/'Historical FS'!I54</f>
        <v>1.4793067256687375E-2</v>
      </c>
      <c r="J14" s="87">
        <f>'Historical FS'!J38/'Historical FS'!J54</f>
        <v>1.668103507259466E-2</v>
      </c>
      <c r="K14" s="87">
        <f>'Historical FS'!K38/'Historical FS'!K54</f>
        <v>1.8907108002395239E-2</v>
      </c>
      <c r="L14" s="87">
        <f>'Historical FS'!L38/'Historical FS'!L54</f>
        <v>2.0635338016353005E-2</v>
      </c>
      <c r="M14" s="92">
        <f>'Historical FS'!M38/'Historical FS'!M54</f>
        <v>1.6831647309929861E-2</v>
      </c>
      <c r="N14" s="92">
        <f>'Historical FS'!N38/'Historical FS'!N54</f>
        <v>1.7135803841231631E-2</v>
      </c>
      <c r="O14" s="92">
        <f>'Historical FS'!O38/'Historical FS'!O54</f>
        <v>1.7391390651004947E-2</v>
      </c>
      <c r="P14" s="92">
        <f>'Historical FS'!P38/'Historical FS'!P54</f>
        <v>1.7609181432394289E-2</v>
      </c>
      <c r="Q14" s="92">
        <f>'Historical FS'!Q38/'Historical FS'!Q54</f>
        <v>1.7796982845204836E-2</v>
      </c>
      <c r="R14" s="87"/>
    </row>
    <row r="15" spans="2:18" x14ac:dyDescent="0.3">
      <c r="B15" t="s">
        <v>157</v>
      </c>
      <c r="C15" s="89">
        <f>'Historical FS'!C21/'Historical FS'!C24</f>
        <v>326.88235294117646</v>
      </c>
      <c r="D15" s="89">
        <f>'Historical FS'!D21/'Historical FS'!D24</f>
        <v>168.45714285714286</v>
      </c>
      <c r="E15" s="89">
        <f>'Historical FS'!E21/'Historical FS'!E24</f>
        <v>268.42307692307691</v>
      </c>
      <c r="F15" s="89">
        <f>'Historical FS'!F21/'Historical FS'!F24</f>
        <v>251.96969696969697</v>
      </c>
      <c r="G15" s="89">
        <f>'Historical FS'!G21/'Historical FS'!G24</f>
        <v>75.076271186440678</v>
      </c>
      <c r="H15" s="89">
        <f>'Historical FS'!H21/'Historical FS'!H24</f>
        <v>90.188034188034194</v>
      </c>
      <c r="I15" s="89">
        <f>'Historical FS'!I21/'Historical FS'!I24</f>
        <v>111</v>
      </c>
      <c r="J15" s="89">
        <f>'Historical FS'!J21/'Historical FS'!J24</f>
        <v>114.12280701754386</v>
      </c>
      <c r="K15" s="89">
        <f>'Historical FS'!K21/'Historical FS'!K24</f>
        <v>40.248502994011979</v>
      </c>
      <c r="L15" s="89">
        <f>'Historical FS'!L21/'Historical FS'!L24</f>
        <v>34.146835443037972</v>
      </c>
      <c r="M15" s="93">
        <f>'Historical FS'!M21/'Historical FS'!M24</f>
        <v>45.823520334182838</v>
      </c>
      <c r="N15" s="93">
        <f>'Historical FS'!N21/'Historical FS'!N24</f>
        <v>43.941171085458791</v>
      </c>
      <c r="O15" s="93">
        <f>'Historical FS'!O21/'Historical FS'!O24</f>
        <v>42.401756609566029</v>
      </c>
      <c r="P15" s="93">
        <f>'Historical FS'!P21/'Historical FS'!P24</f>
        <v>41.119384921501222</v>
      </c>
      <c r="Q15" s="93">
        <f>'Historical FS'!Q21/'Historical FS'!Q24</f>
        <v>40.034637374567168</v>
      </c>
    </row>
    <row r="16" spans="2:18" x14ac:dyDescent="0.3">
      <c r="M16" s="68"/>
      <c r="N16" s="68"/>
      <c r="O16" s="68"/>
      <c r="P16" s="68"/>
      <c r="Q16" s="68"/>
    </row>
    <row r="17" spans="2:17" x14ac:dyDescent="0.3">
      <c r="B17" s="70" t="s">
        <v>158</v>
      </c>
      <c r="M17" s="68"/>
      <c r="N17" s="68"/>
      <c r="O17" s="68"/>
      <c r="P17" s="68"/>
      <c r="Q17" s="68"/>
    </row>
    <row r="18" spans="2:17" x14ac:dyDescent="0.3">
      <c r="B18" t="s">
        <v>159</v>
      </c>
      <c r="C18" s="87">
        <f>'Historical FS'!C6/'Historical FS'!C54</f>
        <v>2.1757588048401271</v>
      </c>
      <c r="D18" s="87">
        <f>'Historical FS'!D6/'Historical FS'!D54</f>
        <v>2.1114223863491661</v>
      </c>
      <c r="E18" s="87">
        <f>'Historical FS'!E6/'Historical FS'!E54</f>
        <v>1.989978725786586</v>
      </c>
      <c r="F18" s="87">
        <f>'Historical FS'!F6/'Historical FS'!F54</f>
        <v>2.1101508400880347</v>
      </c>
      <c r="G18" s="87">
        <f>'Historical FS'!G6/'Historical FS'!G54</f>
        <v>1.974048528755024</v>
      </c>
      <c r="H18" s="87">
        <f>'Historical FS'!H6/'Historical FS'!H54</f>
        <v>0.68414314809426824</v>
      </c>
      <c r="I18" s="87">
        <f>'Historical FS'!I6/'Historical FS'!I54</f>
        <v>0.74385158709897026</v>
      </c>
      <c r="J18" s="87">
        <f>'Historical FS'!J6/'Historical FS'!J54</f>
        <v>0.82898860106463046</v>
      </c>
      <c r="K18" s="87">
        <f>'Historical FS'!K6/'Historical FS'!K54</f>
        <v>0.78859458013224781</v>
      </c>
      <c r="L18" s="87">
        <f>'Historical FS'!L6/'Historical FS'!L54</f>
        <v>0.79036600177804495</v>
      </c>
      <c r="M18" s="92">
        <f>'Historical FS'!M6/'Historical FS'!M54</f>
        <v>0.71089712614277756</v>
      </c>
      <c r="N18" s="92">
        <f>'Historical FS'!N6/'Historical FS'!N54</f>
        <v>0.6867567281717073</v>
      </c>
      <c r="O18" s="92">
        <f>'Historical FS'!O6/'Historical FS'!O54</f>
        <v>0.66647122820996374</v>
      </c>
      <c r="P18" s="92">
        <f>'Historical FS'!P6/'Historical FS'!P54</f>
        <v>0.64918553615309083</v>
      </c>
      <c r="Q18" s="92">
        <f>'Historical FS'!Q6/'Historical FS'!Q54</f>
        <v>0.63428005039753954</v>
      </c>
    </row>
    <row r="19" spans="2:17" x14ac:dyDescent="0.3">
      <c r="B19" t="s">
        <v>160</v>
      </c>
      <c r="C19" s="87">
        <f>'Historical FS'!C9/'Historical FS'!C50</f>
        <v>6.6845194424064562</v>
      </c>
      <c r="D19" s="87">
        <f>'Historical FS'!D9/'Historical FS'!D50</f>
        <v>7.3494687131050771</v>
      </c>
      <c r="E19" s="87">
        <f>'Historical FS'!E9/'Historical FS'!E50</f>
        <v>7.685634699562276</v>
      </c>
      <c r="F19" s="87">
        <f>'Historical FS'!F9/'Historical FS'!F50</f>
        <v>8.1899766899766906</v>
      </c>
      <c r="G19" s="87">
        <f>'Historical FS'!G9/'Historical FS'!G50</f>
        <v>7.4499457896638956</v>
      </c>
      <c r="H19" s="87">
        <f>'Historical FS'!H9/'Historical FS'!H50</f>
        <v>7.0692930986309026</v>
      </c>
      <c r="I19" s="87">
        <f>'Historical FS'!I9/'Historical FS'!I50</f>
        <v>7.09619140625</v>
      </c>
      <c r="J19" s="87">
        <f>'Historical FS'!J9/'Historical FS'!J50</f>
        <v>8.3229828275699838</v>
      </c>
      <c r="K19" s="87">
        <f>'Historical FS'!K9/'Historical FS'!K50</f>
        <v>8.3667329686723022</v>
      </c>
      <c r="L19" s="87">
        <f>'Historical FS'!L9/'Historical FS'!L50</f>
        <v>7.8208380520951302</v>
      </c>
      <c r="M19" s="92">
        <f>'Historical FS'!M9/'Historical FS'!M50</f>
        <v>8.0525333563642789</v>
      </c>
      <c r="N19" s="92">
        <f>'Historical FS'!N9/'Historical FS'!N50</f>
        <v>8.1035979905320694</v>
      </c>
      <c r="O19" s="92">
        <f>'Historical FS'!O9/'Historical FS'!O50</f>
        <v>8.1499017060801044</v>
      </c>
      <c r="P19" s="92">
        <f>'Historical FS'!P9/'Historical FS'!P50</f>
        <v>8.1920806609219099</v>
      </c>
      <c r="Q19" s="92">
        <f>'Historical FS'!Q9/'Historical FS'!Q50</f>
        <v>8.2306625072454551</v>
      </c>
    </row>
    <row r="20" spans="2:17" x14ac:dyDescent="0.3">
      <c r="B20" t="s">
        <v>161</v>
      </c>
      <c r="C20" s="87">
        <f>'Historical FS'!C6/'Historical FS'!C49</f>
        <v>25.463607594936708</v>
      </c>
      <c r="D20" s="87">
        <f>'Historical FS'!D6/'Historical FS'!D49</f>
        <v>30.56405529953917</v>
      </c>
      <c r="E20" s="87">
        <f>'Historical FS'!E6/'Historical FS'!E49</f>
        <v>27.133587786259543</v>
      </c>
      <c r="F20" s="87">
        <f>'Historical FS'!F6/'Historical FS'!F49</f>
        <v>21.646475770925111</v>
      </c>
      <c r="G20" s="87">
        <f>'Historical FS'!G6/'Historical FS'!G49</f>
        <v>34.624020887728463</v>
      </c>
      <c r="H20" s="87">
        <f>'Historical FS'!H6/'Historical FS'!H49</f>
        <v>26.750853242320819</v>
      </c>
      <c r="I20" s="87">
        <f>'Historical FS'!I6/'Historical FS'!I49</f>
        <v>23.455277280858677</v>
      </c>
      <c r="J20" s="87">
        <f>'Historical FS'!J6/'Historical FS'!J49</f>
        <v>19.67521922702176</v>
      </c>
      <c r="K20" s="87">
        <f>'Historical FS'!K6/'Historical FS'!K49</f>
        <v>20.652652652652652</v>
      </c>
      <c r="L20" s="87">
        <f>'Historical FS'!L6/'Historical FS'!L49</f>
        <v>16.52814873003404</v>
      </c>
      <c r="M20" s="92">
        <f>'Historical FS'!M6/'Historical FS'!M49</f>
        <v>18.839649293534254</v>
      </c>
      <c r="N20" s="92">
        <f>'Historical FS'!N6/'Historical FS'!N49</f>
        <v>18.474012531578026</v>
      </c>
      <c r="O20" s="92">
        <f>'Historical FS'!O6/'Historical FS'!O49</f>
        <v>18.15813772463164</v>
      </c>
      <c r="P20" s="92">
        <f>'Historical FS'!P6/'Historical FS'!P49</f>
        <v>17.882513452663947</v>
      </c>
      <c r="Q20" s="92">
        <f>'Historical FS'!Q6/'Historical FS'!Q49</f>
        <v>17.639907103143027</v>
      </c>
    </row>
    <row r="21" spans="2:17" x14ac:dyDescent="0.3">
      <c r="B21" t="s">
        <v>162</v>
      </c>
      <c r="C21" s="87">
        <f>'Historical FS'!C9/'Historical FS'!C40</f>
        <v>3.2052770448548813</v>
      </c>
      <c r="D21" s="87">
        <f>'Historical FS'!D9/'Historical FS'!D40</f>
        <v>3.0189136760426769</v>
      </c>
      <c r="E21" s="87">
        <f>'Historical FS'!E9/'Historical FS'!E40</f>
        <v>2.6937238493723847</v>
      </c>
      <c r="F21" s="87">
        <f>'Historical FS'!F9/'Historical FS'!F40</f>
        <v>2.9254787676935887</v>
      </c>
      <c r="G21" s="87">
        <f>'Historical FS'!G9/'Historical FS'!G40</f>
        <v>2.7357664233576644</v>
      </c>
      <c r="H21" s="87">
        <f>'Historical FS'!H9/'Historical FS'!H40</f>
        <v>2.8744603499204726</v>
      </c>
      <c r="I21" s="87">
        <f>'Historical FS'!I9/'Historical FS'!I40</f>
        <v>3.205337450374945</v>
      </c>
      <c r="J21" s="87">
        <f>'Historical FS'!J9/'Historical FS'!J40</f>
        <v>3.6955295592228952</v>
      </c>
      <c r="K21" s="87">
        <f>'Historical FS'!K9/'Historical FS'!K40</f>
        <v>3.2091359908449362</v>
      </c>
      <c r="L21" s="87">
        <f>'Historical FS'!L9/'Historical FS'!L40</f>
        <v>3.0516129032258066</v>
      </c>
      <c r="M21" s="92">
        <f>'Historical FS'!M9/'Historical FS'!M40</f>
        <v>3.2348246083688545</v>
      </c>
      <c r="N21" s="92">
        <f>'Historical FS'!N9/'Historical FS'!N40</f>
        <v>3.2537629126391079</v>
      </c>
      <c r="O21" s="92">
        <f>'Historical FS'!O9/'Historical FS'!O40</f>
        <v>3.2709197017283382</v>
      </c>
      <c r="P21" s="92">
        <f>'Historical FS'!P9/'Historical FS'!P40</f>
        <v>3.2865350623609526</v>
      </c>
      <c r="Q21" s="92">
        <f>'Historical FS'!Q9/'Historical FS'!Q40</f>
        <v>3.3008077953664534</v>
      </c>
    </row>
    <row r="22" spans="2:17" x14ac:dyDescent="0.3">
      <c r="B22" t="s">
        <v>163</v>
      </c>
      <c r="C22" s="87">
        <f>'Historical FS'!C6/'Historical FS'!C44</f>
        <v>9.8790669122160839</v>
      </c>
      <c r="D22" s="87">
        <f>'Historical FS'!D6/'Historical FS'!D44</f>
        <v>7.5044127630685677</v>
      </c>
      <c r="E22" s="87">
        <f>'Historical FS'!E6/'Historical FS'!E44</f>
        <v>7.8500441696113077</v>
      </c>
      <c r="F22" s="87">
        <f>'Historical FS'!F6/'Historical FS'!F44</f>
        <v>8.3372216330858961</v>
      </c>
      <c r="G22" s="87">
        <f>'Historical FS'!G6/'Historical FS'!G44</f>
        <v>7.2609965322139081</v>
      </c>
      <c r="H22" s="87">
        <f>'Historical FS'!H6/'Historical FS'!H44</f>
        <v>0.91417685593763975</v>
      </c>
      <c r="I22" s="87">
        <f>'Historical FS'!I6/'Historical FS'!I44</f>
        <v>1.018903114254075</v>
      </c>
      <c r="J22" s="87">
        <f>'Historical FS'!J6/'Historical FS'!J44</f>
        <v>1.1500056949770303</v>
      </c>
      <c r="K22" s="87">
        <f>'Historical FS'!K6/'Historical FS'!K44</f>
        <v>1.1516820482286394</v>
      </c>
      <c r="L22" s="87">
        <f>'Historical FS'!L6/'Historical FS'!L44</f>
        <v>1.1617005613324745</v>
      </c>
      <c r="M22" s="92">
        <f>'Historical FS'!M6/'Historical FS'!M44</f>
        <v>0.97914803133643702</v>
      </c>
      <c r="N22" s="92">
        <f>'Historical FS'!N6/'Historical FS'!N44</f>
        <v>0.93557637651997683</v>
      </c>
      <c r="O22" s="92">
        <f>'Historical FS'!O6/'Historical FS'!O44</f>
        <v>0.89969114210882462</v>
      </c>
      <c r="P22" s="92">
        <f>'Historical FS'!P6/'Historical FS'!P44</f>
        <v>0.86962326050287109</v>
      </c>
      <c r="Q22" s="92">
        <f>'Historical FS'!Q6/'Historical FS'!Q44</f>
        <v>0.84406421731350689</v>
      </c>
    </row>
    <row r="23" spans="2:17" x14ac:dyDescent="0.3">
      <c r="M23" s="68"/>
      <c r="N23" s="68"/>
      <c r="O23" s="68"/>
      <c r="P23" s="68"/>
      <c r="Q23" s="68"/>
    </row>
    <row r="24" spans="2:17" x14ac:dyDescent="0.3">
      <c r="B24" s="70" t="s">
        <v>164</v>
      </c>
      <c r="M24" s="68"/>
      <c r="N24" s="68"/>
      <c r="O24" s="68"/>
      <c r="P24" s="68"/>
      <c r="Q24" s="68"/>
    </row>
    <row r="25" spans="2:17" x14ac:dyDescent="0.3">
      <c r="B25" t="s">
        <v>165</v>
      </c>
      <c r="C25" s="88"/>
      <c r="D25" s="88"/>
      <c r="E25" s="88"/>
      <c r="F25" s="88"/>
      <c r="G25" s="88"/>
      <c r="H25" s="88"/>
      <c r="I25" s="5">
        <f>'Historical FS'!I52/'Manual Data'!N37</f>
        <v>0.9023049645390071</v>
      </c>
      <c r="J25" s="5">
        <f>'Historical FS'!J52/'Manual Data'!O37</f>
        <v>0.99833721316927171</v>
      </c>
      <c r="K25" s="5">
        <f>'Historical FS'!K52/'Manual Data'!P37</f>
        <v>1.132183908045977</v>
      </c>
      <c r="L25" s="5">
        <f>'Historical FS'!L52/'Manual Data'!Q37</f>
        <v>0.95470762532502873</v>
      </c>
      <c r="M25" s="77">
        <f>FORECAST(M$3,$I25:$L25,$I$3:$L$3)</f>
        <v>1.0696549969585254</v>
      </c>
      <c r="N25" s="77">
        <f t="shared" ref="N25:Q27" si="1">FORECAST(N$3,$I25:$L25,$I$3:$L$3)</f>
        <v>1.0987476834359371</v>
      </c>
      <c r="O25" s="77">
        <f t="shared" si="1"/>
        <v>1.1278403699133492</v>
      </c>
      <c r="P25" s="77">
        <f t="shared" si="1"/>
        <v>1.1569330563907614</v>
      </c>
      <c r="Q25" s="77">
        <f t="shared" si="1"/>
        <v>1.1860257428681735</v>
      </c>
    </row>
    <row r="26" spans="2:17" x14ac:dyDescent="0.3">
      <c r="B26" t="s">
        <v>166</v>
      </c>
      <c r="C26" s="88"/>
      <c r="D26" s="88"/>
      <c r="E26" s="88"/>
      <c r="F26" s="88"/>
      <c r="G26" s="88"/>
      <c r="H26" s="88"/>
      <c r="I26" s="5">
        <f>('Historical FS'!I52-'Historical FS'!I50)/'Manual Data'!N37</f>
        <v>0.53918439716312061</v>
      </c>
      <c r="J26" s="5">
        <f>('Historical FS'!J52-'Historical FS'!J50)/'Manual Data'!O37</f>
        <v>0.64491187229797142</v>
      </c>
      <c r="K26" s="5">
        <f>('Historical FS'!K52-'Historical FS'!K50)/'Manual Data'!P37</f>
        <v>0.81981981981981977</v>
      </c>
      <c r="L26" s="5">
        <f>('Historical FS'!L52-'Historical FS'!L50)/'Manual Data'!Q37</f>
        <v>0.68773054362943697</v>
      </c>
      <c r="M26" s="77">
        <f>FORECAST(M$3,$I26:$L26,$I$3:$L$3)</f>
        <v>0.82801474179826684</v>
      </c>
      <c r="N26" s="77">
        <f t="shared" si="1"/>
        <v>0.8900219986474438</v>
      </c>
      <c r="O26" s="77">
        <f t="shared" si="1"/>
        <v>0.95202925549662076</v>
      </c>
      <c r="P26" s="77">
        <f t="shared" si="1"/>
        <v>1.0140365123457977</v>
      </c>
      <c r="Q26" s="77">
        <f t="shared" si="1"/>
        <v>1.0760437691949738</v>
      </c>
    </row>
    <row r="27" spans="2:17" x14ac:dyDescent="0.3">
      <c r="B27" t="s">
        <v>167</v>
      </c>
      <c r="C27" s="88"/>
      <c r="D27" s="88"/>
      <c r="E27" s="88"/>
      <c r="F27" s="88"/>
      <c r="G27" s="88"/>
      <c r="H27" s="88"/>
      <c r="I27" s="5">
        <f>'Historical FS'!I51/'Manual Data'!N37</f>
        <v>0.34095744680851064</v>
      </c>
      <c r="J27" s="5">
        <f>'Historical FS'!J51/'Manual Data'!O37</f>
        <v>0.38892583970734951</v>
      </c>
      <c r="K27" s="5">
        <f>'Historical FS'!K51/'Manual Data'!P37</f>
        <v>0.58706119913016463</v>
      </c>
      <c r="L27" s="5">
        <f>'Historical FS'!L51/'Manual Data'!Q37</f>
        <v>0.45679385620124568</v>
      </c>
      <c r="M27" s="77">
        <f>FORECAST(M$3,$I27:$L27,$I$3:$L$3)</f>
        <v>0.57983647736790278</v>
      </c>
      <c r="N27" s="77">
        <f>FORECAST(N$3,$I27:$L27,$I$3:$L$3)</f>
        <v>0.63436735419782675</v>
      </c>
      <c r="O27" s="77">
        <f t="shared" si="1"/>
        <v>0.68889823102775072</v>
      </c>
      <c r="P27" s="77">
        <f t="shared" si="1"/>
        <v>0.74342910785767469</v>
      </c>
      <c r="Q27" s="77">
        <f t="shared" si="1"/>
        <v>0.79795998468759954</v>
      </c>
    </row>
    <row r="28" spans="2:17" x14ac:dyDescent="0.3">
      <c r="M28" s="68"/>
      <c r="N28" s="68"/>
      <c r="O28" s="68"/>
      <c r="P28" s="68"/>
      <c r="Q28" s="68"/>
    </row>
    <row r="29" spans="2:17" x14ac:dyDescent="0.3">
      <c r="B29" s="70" t="s">
        <v>168</v>
      </c>
      <c r="M29" s="68"/>
      <c r="N29" s="68"/>
      <c r="O29" s="68"/>
      <c r="P29" s="68"/>
      <c r="Q29" s="68"/>
    </row>
    <row r="30" spans="2:17" x14ac:dyDescent="0.3">
      <c r="B30" t="s">
        <v>169</v>
      </c>
      <c r="C30" s="88"/>
      <c r="D30" s="88"/>
      <c r="E30" s="88"/>
      <c r="F30" s="88"/>
      <c r="G30" s="88"/>
      <c r="H30" s="88"/>
      <c r="I30" s="89">
        <f>'Historical FS'!C31/'Data Sheet'!B93</f>
        <v>16.937011876704101</v>
      </c>
      <c r="J30" s="89">
        <f>'Historical FS'!D31/'Data Sheet'!C93</f>
        <v>17.945756133622879</v>
      </c>
      <c r="K30" s="89">
        <f>'Historical FS'!E31/'Data Sheet'!D93</f>
        <v>22.51790251790252</v>
      </c>
      <c r="L30" s="89">
        <f>'Historical FS'!F31/'Data Sheet'!E93</f>
        <v>26.507137247655564</v>
      </c>
      <c r="M30" s="93">
        <f>FORECAST(M$3,$I30:$L30,$I$3:$L$3)</f>
        <v>29.293592873881323</v>
      </c>
      <c r="N30" s="93">
        <f t="shared" ref="N30:Q32" si="2">FORECAST(N$3,$I30:$L30,$I$3:$L$3)</f>
        <v>32.618427418697536</v>
      </c>
      <c r="O30" s="93">
        <f t="shared" si="2"/>
        <v>35.943261963513748</v>
      </c>
      <c r="P30" s="93">
        <f t="shared" si="2"/>
        <v>39.268096508329961</v>
      </c>
      <c r="Q30" s="93">
        <f t="shared" si="2"/>
        <v>42.592931053146174</v>
      </c>
    </row>
    <row r="31" spans="2:17" x14ac:dyDescent="0.3">
      <c r="B31" t="s">
        <v>170</v>
      </c>
      <c r="C31" s="88"/>
      <c r="D31" s="88"/>
      <c r="E31" s="88"/>
      <c r="F31" s="88"/>
      <c r="G31" s="88"/>
      <c r="H31" s="88"/>
      <c r="I31" s="89">
        <f>'Data Sheet'!B90/'Ratio Analysis'!I30</f>
        <v>51.337272851296035</v>
      </c>
      <c r="J31" s="89">
        <f>'Data Sheet'!C90/'Ratio Analysis'!J30</f>
        <v>50.805883753861998</v>
      </c>
      <c r="K31" s="89">
        <f>'Data Sheet'!D90/'Ratio Analysis'!K30</f>
        <v>59.212886233073441</v>
      </c>
      <c r="L31" s="89">
        <f>'Data Sheet'!E90/'Ratio Analysis'!L30</f>
        <v>64.390204949459743</v>
      </c>
      <c r="M31" s="93">
        <f>FORECAST(M$3,$I31:$L31,$I$3:$L$3)</f>
        <v>68.323163472877241</v>
      </c>
      <c r="N31" s="93">
        <f t="shared" si="2"/>
        <v>73.075200227503046</v>
      </c>
      <c r="O31" s="93">
        <f t="shared" si="2"/>
        <v>77.827236982128852</v>
      </c>
      <c r="P31" s="93">
        <f t="shared" si="2"/>
        <v>82.579273736754658</v>
      </c>
      <c r="Q31" s="93">
        <f t="shared" si="2"/>
        <v>87.331310491380577</v>
      </c>
    </row>
    <row r="32" spans="2:17" x14ac:dyDescent="0.3">
      <c r="B32" t="s">
        <v>171</v>
      </c>
      <c r="C32" s="88"/>
      <c r="D32" s="88"/>
      <c r="E32" s="88"/>
      <c r="F32" s="88"/>
      <c r="G32" s="88"/>
      <c r="H32" s="88"/>
      <c r="I32" s="89">
        <f>SUM('Historical FS'!C36:C37)/'Data Sheet'!B93</f>
        <v>30.375710522667408</v>
      </c>
      <c r="J32" s="89">
        <f>SUM('Historical FS'!D36:D37)/'Data Sheet'!C93</f>
        <v>31.16019036177979</v>
      </c>
      <c r="K32" s="89">
        <f>SUM('Historical FS'!E36:E37)/'Data Sheet'!D93</f>
        <v>33.638253638253637</v>
      </c>
      <c r="L32" s="89">
        <f>SUM('Historical FS'!F36:F37)/'Data Sheet'!E93</f>
        <v>36.34221832124544</v>
      </c>
      <c r="M32" s="93">
        <f>FORECAST(M$3,$I32:$L32,$I$3:$L$3)</f>
        <v>37.970900681463377</v>
      </c>
      <c r="N32" s="93">
        <f t="shared" si="2"/>
        <v>40.006508268236701</v>
      </c>
      <c r="O32" s="93">
        <f t="shared" si="2"/>
        <v>42.042115855010024</v>
      </c>
      <c r="P32" s="93">
        <f t="shared" si="2"/>
        <v>44.077723441783291</v>
      </c>
      <c r="Q32" s="93">
        <f t="shared" si="2"/>
        <v>46.113331028556615</v>
      </c>
    </row>
    <row r="33" spans="2:18" x14ac:dyDescent="0.3">
      <c r="M33" s="68"/>
      <c r="N33" s="68"/>
      <c r="O33" s="68"/>
      <c r="P33" s="68"/>
      <c r="Q33" s="68"/>
    </row>
    <row r="34" spans="2:18" x14ac:dyDescent="0.3">
      <c r="B34" s="70" t="s">
        <v>172</v>
      </c>
      <c r="M34" s="68"/>
      <c r="N34" s="68"/>
      <c r="O34" s="68"/>
      <c r="P34" s="68"/>
      <c r="Q34" s="68"/>
    </row>
    <row r="35" spans="2:18" x14ac:dyDescent="0.3">
      <c r="B35" s="71" t="s">
        <v>173</v>
      </c>
      <c r="M35" s="68"/>
      <c r="N35" s="68"/>
      <c r="O35" s="68"/>
      <c r="P35" s="68"/>
      <c r="Q35" s="68"/>
    </row>
    <row r="36" spans="2:18" x14ac:dyDescent="0.3">
      <c r="B36" t="s">
        <v>174</v>
      </c>
      <c r="C36" s="90">
        <f>365/C19</f>
        <v>54.603775655800682</v>
      </c>
      <c r="D36" s="90">
        <f t="shared" ref="D36:L36" si="3">365/D19</f>
        <v>49.663453815261043</v>
      </c>
      <c r="E36" s="90">
        <f t="shared" si="3"/>
        <v>47.491198094646371</v>
      </c>
      <c r="F36" s="90">
        <f t="shared" si="3"/>
        <v>44.566671410274651</v>
      </c>
      <c r="G36" s="90">
        <f t="shared" si="3"/>
        <v>48.993645095566123</v>
      </c>
      <c r="H36" s="90">
        <f t="shared" si="3"/>
        <v>51.631753685625071</v>
      </c>
      <c r="I36" s="90">
        <f t="shared" si="3"/>
        <v>51.436042111057596</v>
      </c>
      <c r="J36" s="90">
        <f t="shared" si="3"/>
        <v>43.854469913230261</v>
      </c>
      <c r="K36" s="90">
        <f t="shared" si="3"/>
        <v>43.625152298594394</v>
      </c>
      <c r="L36" s="90">
        <f t="shared" si="3"/>
        <v>46.670190274841438</v>
      </c>
      <c r="M36" s="91">
        <f>FORECAST(M$3,$I36:$L36,$I$3:$L$3)</f>
        <v>42.767291959433294</v>
      </c>
      <c r="N36" s="91">
        <f t="shared" ref="N36:Q36" si="4">FORECAST(N$3,$I36:$L36,$I$3:$L$3)</f>
        <v>41.316418282709151</v>
      </c>
      <c r="O36" s="91">
        <f t="shared" si="4"/>
        <v>39.865544605985008</v>
      </c>
      <c r="P36" s="91">
        <f t="shared" si="4"/>
        <v>38.414670929260893</v>
      </c>
      <c r="Q36" s="91">
        <f t="shared" si="4"/>
        <v>36.96379725253675</v>
      </c>
    </row>
    <row r="37" spans="2:18" x14ac:dyDescent="0.3">
      <c r="B37" t="s">
        <v>175</v>
      </c>
      <c r="C37" s="90">
        <f>365/C20</f>
        <v>14.334182563847637</v>
      </c>
      <c r="D37" s="90">
        <f t="shared" ref="D37:L37" si="5">365/D20</f>
        <v>11.942132561365419</v>
      </c>
      <c r="E37" s="90">
        <f t="shared" si="5"/>
        <v>13.4519623013082</v>
      </c>
      <c r="F37" s="90">
        <f t="shared" si="5"/>
        <v>16.861867209361485</v>
      </c>
      <c r="G37" s="90">
        <f t="shared" si="5"/>
        <v>10.541814342809742</v>
      </c>
      <c r="H37" s="90">
        <f t="shared" si="5"/>
        <v>13.644424598111764</v>
      </c>
      <c r="I37" s="90">
        <f t="shared" si="5"/>
        <v>15.561529954619989</v>
      </c>
      <c r="J37" s="90">
        <f t="shared" si="5"/>
        <v>18.551254539451964</v>
      </c>
      <c r="K37" s="90">
        <f t="shared" si="5"/>
        <v>17.673274525009695</v>
      </c>
      <c r="L37" s="90">
        <f t="shared" si="5"/>
        <v>22.08353796676225</v>
      </c>
      <c r="M37" s="91">
        <f t="shared" ref="M37:Q40" si="6">FORECAST(M$3,$I37:$L37,$I$3:$L$3)</f>
        <v>23.135599469105074</v>
      </c>
      <c r="N37" s="91">
        <f t="shared" si="6"/>
        <v>25.001856951323134</v>
      </c>
      <c r="O37" s="91">
        <f t="shared" si="6"/>
        <v>26.868114433541166</v>
      </c>
      <c r="P37" s="91">
        <f t="shared" si="6"/>
        <v>28.734371915759226</v>
      </c>
      <c r="Q37" s="91">
        <f t="shared" si="6"/>
        <v>30.600629397977286</v>
      </c>
    </row>
    <row r="38" spans="2:18" x14ac:dyDescent="0.3">
      <c r="B38" t="s">
        <v>176</v>
      </c>
      <c r="C38" s="90">
        <f>365/C21</f>
        <v>113.87471188673032</v>
      </c>
      <c r="D38" s="90">
        <f t="shared" ref="D38:L38" si="7">365/D21</f>
        <v>120.90441767068273</v>
      </c>
      <c r="E38" s="90">
        <f t="shared" si="7"/>
        <v>135.50015532774154</v>
      </c>
      <c r="F38" s="90">
        <f t="shared" si="7"/>
        <v>124.76590294578055</v>
      </c>
      <c r="G38" s="90">
        <f t="shared" si="7"/>
        <v>133.41782283884737</v>
      </c>
      <c r="H38" s="90">
        <f t="shared" si="7"/>
        <v>126.98035650764793</v>
      </c>
      <c r="I38" s="90">
        <f t="shared" si="7"/>
        <v>113.87256588453863</v>
      </c>
      <c r="J38" s="90">
        <f t="shared" si="7"/>
        <v>98.76798281563552</v>
      </c>
      <c r="K38" s="90">
        <f t="shared" si="7"/>
        <v>113.73777896644974</v>
      </c>
      <c r="L38" s="90">
        <f t="shared" si="7"/>
        <v>119.60887949260042</v>
      </c>
      <c r="M38" s="91">
        <f t="shared" si="6"/>
        <v>119.54243776887364</v>
      </c>
      <c r="N38" s="91">
        <f t="shared" si="6"/>
        <v>122.75892969916896</v>
      </c>
      <c r="O38" s="91">
        <f t="shared" si="6"/>
        <v>125.97542162946434</v>
      </c>
      <c r="P38" s="91">
        <f t="shared" si="6"/>
        <v>129.19191355975966</v>
      </c>
      <c r="Q38" s="91">
        <f t="shared" si="6"/>
        <v>132.40840549005503</v>
      </c>
    </row>
    <row r="39" spans="2:18" x14ac:dyDescent="0.3"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1"/>
      <c r="N39" s="91"/>
      <c r="O39" s="91"/>
      <c r="P39" s="91"/>
      <c r="Q39" s="91"/>
    </row>
    <row r="40" spans="2:18" x14ac:dyDescent="0.3">
      <c r="B40" t="s">
        <v>177</v>
      </c>
      <c r="C40" s="90">
        <f>SUM(C36:C37)-C38</f>
        <v>-44.936753667082002</v>
      </c>
      <c r="D40" s="90">
        <f t="shared" ref="D40:L40" si="8">SUM(D36:D37)-D38</f>
        <v>-59.298831294056271</v>
      </c>
      <c r="E40" s="90">
        <f t="shared" si="8"/>
        <v>-74.55699493178696</v>
      </c>
      <c r="F40" s="90">
        <f t="shared" si="8"/>
        <v>-63.337364326144417</v>
      </c>
      <c r="G40" s="90">
        <f t="shared" si="8"/>
        <v>-73.882363400471505</v>
      </c>
      <c r="H40" s="90">
        <f t="shared" si="8"/>
        <v>-61.704178223911086</v>
      </c>
      <c r="I40" s="90">
        <f t="shared" si="8"/>
        <v>-46.874993818861043</v>
      </c>
      <c r="J40" s="90">
        <f t="shared" si="8"/>
        <v>-36.362258362953298</v>
      </c>
      <c r="K40" s="90">
        <f t="shared" si="8"/>
        <v>-52.439352142845649</v>
      </c>
      <c r="L40" s="90">
        <f t="shared" si="8"/>
        <v>-50.855151250996741</v>
      </c>
      <c r="M40" s="91">
        <f>FORECAST(M$3,$I40:$L40,$I$3:$L$3)</f>
        <v>-53.639546340335301</v>
      </c>
      <c r="N40" s="91">
        <f t="shared" ref="N40:P40" si="9">FORECAST(N$3,$I40:$L40,$I$3:$L$3)</f>
        <v>-56.440654465136731</v>
      </c>
      <c r="O40" s="91">
        <f t="shared" si="9"/>
        <v>-59.241762589938162</v>
      </c>
      <c r="P40" s="91">
        <f t="shared" si="9"/>
        <v>-62.042870714739649</v>
      </c>
      <c r="Q40" s="91">
        <f t="shared" si="6"/>
        <v>-64.84397883954108</v>
      </c>
      <c r="R40" t="s">
        <v>199</v>
      </c>
    </row>
  </sheetData>
  <mergeCells count="1">
    <mergeCell ref="B2:Q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251D5-716D-4666-8912-65CD60A3830C}">
  <dimension ref="B2:V24"/>
  <sheetViews>
    <sheetView showGridLines="0" tabSelected="1" workbookViewId="0">
      <selection activeCell="C17" sqref="C17"/>
    </sheetView>
  </sheetViews>
  <sheetFormatPr defaultRowHeight="14.4" x14ac:dyDescent="0.3"/>
  <cols>
    <col min="1" max="1" width="1.88671875" customWidth="1"/>
    <col min="2" max="2" width="42.88671875" bestFit="1" customWidth="1"/>
    <col min="3" max="3" width="12" bestFit="1" customWidth="1"/>
    <col min="5" max="5" width="18.109375" bestFit="1" customWidth="1"/>
    <col min="6" max="6" width="12" bestFit="1" customWidth="1"/>
    <col min="18" max="20" width="9" bestFit="1" customWidth="1"/>
    <col min="21" max="21" width="9.44140625" bestFit="1" customWidth="1"/>
    <col min="22" max="22" width="10.44140625" bestFit="1" customWidth="1"/>
  </cols>
  <sheetData>
    <row r="2" spans="2:22" x14ac:dyDescent="0.3">
      <c r="B2" s="97" t="str">
        <f>"WACC Calculation for "&amp;'Data Sheet'!$B$1</f>
        <v>WACC Calculation for HINDUSTAN UNILEVER LTD</v>
      </c>
      <c r="C2" s="97"/>
      <c r="D2" s="98"/>
      <c r="E2" s="135" t="str">
        <f>"Discounted Cash Flow Statement for "&amp;'Data Sheet'!$B$1</f>
        <v>Discounted Cash Flow Statement for HINDUSTAN UNILEVER LTD</v>
      </c>
      <c r="F2" s="135"/>
      <c r="G2" s="135"/>
      <c r="H2" s="135"/>
      <c r="I2" s="135"/>
      <c r="J2" s="135"/>
      <c r="K2" s="135"/>
      <c r="L2" s="135"/>
      <c r="M2" s="135"/>
      <c r="N2" s="135"/>
      <c r="O2" s="135"/>
      <c r="Q2" s="135" t="s">
        <v>251</v>
      </c>
      <c r="R2" s="135"/>
      <c r="S2" s="135"/>
      <c r="T2" s="135"/>
      <c r="U2" s="135"/>
      <c r="V2" s="135"/>
    </row>
    <row r="3" spans="2:22" x14ac:dyDescent="0.3">
      <c r="F3">
        <v>1</v>
      </c>
      <c r="G3">
        <v>2</v>
      </c>
      <c r="H3">
        <v>3</v>
      </c>
      <c r="I3">
        <v>4</v>
      </c>
      <c r="J3">
        <v>5</v>
      </c>
      <c r="K3">
        <v>6</v>
      </c>
      <c r="L3">
        <v>7</v>
      </c>
      <c r="M3">
        <v>8</v>
      </c>
      <c r="N3">
        <v>9</v>
      </c>
      <c r="O3">
        <v>10</v>
      </c>
      <c r="Q3" s="141">
        <f>O18</f>
        <v>39631.652574555534</v>
      </c>
      <c r="R3" s="99">
        <v>0.02</v>
      </c>
      <c r="S3" s="99">
        <v>0.04</v>
      </c>
      <c r="T3" s="99">
        <v>0.06</v>
      </c>
      <c r="U3" s="99">
        <v>0.08</v>
      </c>
      <c r="V3" s="99">
        <v>0.1</v>
      </c>
    </row>
    <row r="4" spans="2:22" x14ac:dyDescent="0.3">
      <c r="B4" t="s">
        <v>200</v>
      </c>
      <c r="C4" s="102">
        <v>5397.1480000000001</v>
      </c>
      <c r="Q4" s="99">
        <v>0.10249999999999999</v>
      </c>
      <c r="R4" s="142">
        <f t="dataTable" ref="R4:V10" dt2D="1" dtr="1" r1="F12" r2="F13"/>
        <v>30894.19739543859</v>
      </c>
      <c r="S4" s="142">
        <v>41579.955082802058</v>
      </c>
      <c r="T4" s="142">
        <v>62322.896475919362</v>
      </c>
      <c r="U4" s="142">
        <v>119942.1781234675</v>
      </c>
      <c r="V4" s="142">
        <v>1099469.9661317901</v>
      </c>
    </row>
    <row r="5" spans="2:22" x14ac:dyDescent="0.3">
      <c r="B5" t="s">
        <v>201</v>
      </c>
      <c r="C5" s="102">
        <v>164.8</v>
      </c>
      <c r="E5" t="s">
        <v>104</v>
      </c>
      <c r="F5" s="58">
        <f>'Historical FS'!C21</f>
        <v>5557</v>
      </c>
      <c r="G5" s="58">
        <f>'Historical FS'!D21</f>
        <v>5896</v>
      </c>
      <c r="H5" s="58">
        <f>'Historical FS'!E21</f>
        <v>6979</v>
      </c>
      <c r="I5" s="58">
        <f>'Historical FS'!F21</f>
        <v>8315</v>
      </c>
      <c r="J5" s="58">
        <f>'Historical FS'!G21</f>
        <v>8859</v>
      </c>
      <c r="K5" s="58">
        <f>'Historical FS'!H21</f>
        <v>10552</v>
      </c>
      <c r="L5" s="58">
        <f>'Historical FS'!I21</f>
        <v>11766</v>
      </c>
      <c r="M5" s="58">
        <f>'Historical FS'!J21</f>
        <v>13010</v>
      </c>
      <c r="N5" s="58">
        <f>'Historical FS'!K21</f>
        <v>13443</v>
      </c>
      <c r="O5" s="58">
        <f>'Historical FS'!L21</f>
        <v>13488</v>
      </c>
      <c r="Q5" s="99">
        <v>0.10440000000000001</v>
      </c>
      <c r="R5" s="142">
        <v>29683.179664164945</v>
      </c>
      <c r="S5" s="143">
        <v>39664.334097578583</v>
      </c>
      <c r="T5" s="142">
        <v>58637.5195520856</v>
      </c>
      <c r="U5" s="142">
        <v>108714.28771889918</v>
      </c>
      <c r="V5" s="142">
        <v>614034.40285674541</v>
      </c>
    </row>
    <row r="6" spans="2:22" x14ac:dyDescent="0.3">
      <c r="B6" t="s">
        <v>202</v>
      </c>
      <c r="C6" s="103">
        <v>6.2600000000000003E-2</v>
      </c>
      <c r="E6" t="s">
        <v>205</v>
      </c>
      <c r="F6" s="106">
        <f>$C$10</f>
        <v>0.28595432673947913</v>
      </c>
      <c r="G6" s="106">
        <f t="shared" ref="G6:O6" si="0">$C$10</f>
        <v>0.28595432673947913</v>
      </c>
      <c r="H6" s="106">
        <f t="shared" si="0"/>
        <v>0.28595432673947913</v>
      </c>
      <c r="I6" s="106">
        <f t="shared" si="0"/>
        <v>0.28595432673947913</v>
      </c>
      <c r="J6" s="106">
        <f t="shared" si="0"/>
        <v>0.28595432673947913</v>
      </c>
      <c r="K6" s="106">
        <f t="shared" si="0"/>
        <v>0.28595432673947913</v>
      </c>
      <c r="L6" s="106">
        <f t="shared" si="0"/>
        <v>0.28595432673947913</v>
      </c>
      <c r="M6" s="106">
        <f t="shared" si="0"/>
        <v>0.28595432673947913</v>
      </c>
      <c r="N6" s="106">
        <f t="shared" si="0"/>
        <v>0.28595432673947913</v>
      </c>
      <c r="O6" s="106">
        <f t="shared" si="0"/>
        <v>0.28595432673947913</v>
      </c>
      <c r="Q6" s="99">
        <v>0.1137</v>
      </c>
      <c r="R6" s="142">
        <v>24586.406601338924</v>
      </c>
      <c r="S6" s="142">
        <v>31871.340496545028</v>
      </c>
      <c r="T6" s="142">
        <v>44582.668354660687</v>
      </c>
      <c r="U6" s="142">
        <v>72381.625717958173</v>
      </c>
      <c r="V6" s="142">
        <v>181345.42209818269</v>
      </c>
    </row>
    <row r="7" spans="2:22" x14ac:dyDescent="0.3">
      <c r="B7" t="s">
        <v>203</v>
      </c>
      <c r="C7" s="95">
        <f>C6+(C9*C8)</f>
        <v>9.5560000000000006E-2</v>
      </c>
      <c r="E7" t="s">
        <v>10</v>
      </c>
      <c r="F7" s="58">
        <f>'Historical FS'!C19</f>
        <v>353</v>
      </c>
      <c r="G7" s="58">
        <f>'Historical FS'!D19</f>
        <v>432</v>
      </c>
      <c r="H7" s="58">
        <f>'Historical FS'!E19</f>
        <v>520</v>
      </c>
      <c r="I7" s="58">
        <f>'Historical FS'!F19</f>
        <v>565</v>
      </c>
      <c r="J7" s="58">
        <f>'Historical FS'!G19</f>
        <v>1002</v>
      </c>
      <c r="K7" s="58">
        <f>'Historical FS'!H19</f>
        <v>1074</v>
      </c>
      <c r="L7" s="58">
        <f>'Historical FS'!I19</f>
        <v>1091</v>
      </c>
      <c r="M7" s="58">
        <f>'Historical FS'!J19</f>
        <v>1137</v>
      </c>
      <c r="N7" s="58">
        <f>'Historical FS'!K19</f>
        <v>1216</v>
      </c>
      <c r="O7" s="58">
        <f>'Historical FS'!L19</f>
        <v>1355</v>
      </c>
      <c r="Q7" s="99">
        <v>0.11890000000000001</v>
      </c>
      <c r="R7" s="142">
        <v>22233.4990889199</v>
      </c>
      <c r="S7" s="142">
        <v>28415.825222917392</v>
      </c>
      <c r="T7" s="142">
        <v>38796.675047235738</v>
      </c>
      <c r="U7" s="142">
        <v>59851.920577794051</v>
      </c>
      <c r="V7" s="142">
        <v>125468.53231059219</v>
      </c>
    </row>
    <row r="8" spans="2:22" x14ac:dyDescent="0.3">
      <c r="B8" t="s">
        <v>211</v>
      </c>
      <c r="C8" s="105">
        <v>4.1200000000000001E-2</v>
      </c>
      <c r="E8" t="s">
        <v>212</v>
      </c>
      <c r="F8" s="58">
        <f>'Historical FS'!C72</f>
        <v>-810</v>
      </c>
      <c r="G8" s="58">
        <f>'Historical FS'!D72</f>
        <v>-1113</v>
      </c>
      <c r="H8" s="58">
        <f>'Historical FS'!E72</f>
        <v>-895</v>
      </c>
      <c r="I8" s="58">
        <f>'Historical FS'!F72</f>
        <v>-767</v>
      </c>
      <c r="J8" s="58">
        <f>'Historical FS'!G72</f>
        <v>-862</v>
      </c>
      <c r="K8" s="58">
        <f>'Historical FS'!H72</f>
        <v>-4163</v>
      </c>
      <c r="L8" s="58">
        <f>'Historical FS'!I72</f>
        <v>-1228</v>
      </c>
      <c r="M8" s="58">
        <f>'Historical FS'!J72</f>
        <v>-1192</v>
      </c>
      <c r="N8" s="58">
        <f>'Historical FS'!K72</f>
        <v>-1477</v>
      </c>
      <c r="O8" s="58">
        <f>'Historical FS'!L72</f>
        <v>-1275</v>
      </c>
      <c r="Q8" s="99">
        <v>0.12670000000000001</v>
      </c>
      <c r="R8" s="142">
        <v>19225.138821616201</v>
      </c>
      <c r="S8" s="142">
        <v>24123.925240937951</v>
      </c>
      <c r="T8" s="142">
        <v>31960.514610377682</v>
      </c>
      <c r="U8" s="142">
        <v>46509.386094969232</v>
      </c>
      <c r="V8" s="142">
        <v>82854.319728761606</v>
      </c>
    </row>
    <row r="9" spans="2:22" x14ac:dyDescent="0.3">
      <c r="B9" t="s">
        <v>204</v>
      </c>
      <c r="C9" s="104">
        <v>0.8</v>
      </c>
      <c r="E9" t="s">
        <v>213</v>
      </c>
      <c r="F9" s="58">
        <f>('Historical FS'!C49+'Historical FS'!C50)-'Historical FS'!C40</f>
        <v>-1695</v>
      </c>
      <c r="G9" s="58">
        <f>('Historical FS'!D49+'Historical FS'!D50)-'Historical FS'!D40</f>
        <v>-2560</v>
      </c>
      <c r="H9" s="58">
        <f>('Historical FS'!E49+'Historical FS'!E50)-'Historical FS'!E40</f>
        <v>-3347</v>
      </c>
      <c r="I9" s="58">
        <f>('Historical FS'!F49+'Historical FS'!F50)-'Historical FS'!F40</f>
        <v>-2816</v>
      </c>
      <c r="J9" s="58">
        <f>('Historical FS'!G49+'Historical FS'!G50)-'Historical FS'!G40</f>
        <v>-3619</v>
      </c>
      <c r="K9" s="58">
        <f>('Historical FS'!H49+'Historical FS'!H50)-'Historical FS'!H40</f>
        <v>-3465</v>
      </c>
      <c r="L9" s="58">
        <f>('Historical FS'!I49+'Historical FS'!I50)-'Historical FS'!I40</f>
        <v>-2736</v>
      </c>
      <c r="M9" s="58">
        <f>('Historical FS'!J49+'Historical FS'!J50)-'Historical FS'!J40</f>
        <v>-2244</v>
      </c>
      <c r="N9" s="58">
        <f>('Historical FS'!K49+'Historical FS'!K50)-'Historical FS'!K40</f>
        <v>-3467</v>
      </c>
      <c r="O9" s="58">
        <f>('Historical FS'!L49+'Historical FS'!L50)-'Historical FS'!L40</f>
        <v>-3081</v>
      </c>
      <c r="Q9" s="99">
        <v>0.13120000000000001</v>
      </c>
      <c r="R9" s="142">
        <v>17726.300009932052</v>
      </c>
      <c r="S9" s="142">
        <v>22037.443493599738</v>
      </c>
      <c r="T9" s="142">
        <v>28770.577698429042</v>
      </c>
      <c r="U9" s="142">
        <v>40763.973000781247</v>
      </c>
      <c r="V9" s="142">
        <v>68133.516126661896</v>
      </c>
    </row>
    <row r="10" spans="2:22" x14ac:dyDescent="0.3">
      <c r="B10" t="s">
        <v>205</v>
      </c>
      <c r="C10" s="95">
        <f>'Historical FS'!L29/'Historical FS'!L26</f>
        <v>0.28595432673947913</v>
      </c>
      <c r="E10" s="70" t="s">
        <v>214</v>
      </c>
      <c r="F10" s="58">
        <f>F5*(1-F6)+F7+F8+F9</f>
        <v>1815.9518063087144</v>
      </c>
      <c r="G10" s="58">
        <f>G5*(1-G6)+G7+G8+G9</f>
        <v>969.01328954403107</v>
      </c>
      <c r="H10" s="58">
        <f t="shared" ref="H10:O10" si="1">H5*(1-H6)+H7+H8+H9</f>
        <v>1261.3247536851759</v>
      </c>
      <c r="I10" s="58">
        <f t="shared" si="1"/>
        <v>2919.2897731612311</v>
      </c>
      <c r="J10" s="58">
        <f t="shared" si="1"/>
        <v>2846.7306194149551</v>
      </c>
      <c r="K10" s="58">
        <f t="shared" si="1"/>
        <v>980.60994424501769</v>
      </c>
      <c r="L10" s="58">
        <f t="shared" si="1"/>
        <v>5528.4613915832888</v>
      </c>
      <c r="M10" s="58">
        <f t="shared" si="1"/>
        <v>6990.7342091193768</v>
      </c>
      <c r="N10" s="58">
        <f t="shared" si="1"/>
        <v>5870.9159856411825</v>
      </c>
      <c r="O10" s="58">
        <f t="shared" si="1"/>
        <v>6630.048040937907</v>
      </c>
      <c r="Q10" s="99">
        <v>0.1399</v>
      </c>
      <c r="R10" s="142">
        <v>15227.553267038722</v>
      </c>
      <c r="S10" s="142">
        <v>18634.46762631907</v>
      </c>
      <c r="T10" s="142">
        <v>23746.971151697213</v>
      </c>
      <c r="U10" s="142">
        <v>32273.50040353823</v>
      </c>
      <c r="V10" s="142">
        <v>49347.928654718598</v>
      </c>
    </row>
    <row r="11" spans="2:22" x14ac:dyDescent="0.3">
      <c r="B11" t="s">
        <v>206</v>
      </c>
      <c r="C11" s="87">
        <f>(('Historical FS'!L76+'Historical FS'!L89)/'DCF Modelling'!C5)*(1-C9)</f>
        <v>0.85558252427184445</v>
      </c>
      <c r="Q11" s="95"/>
    </row>
    <row r="12" spans="2:22" x14ac:dyDescent="0.3">
      <c r="E12" t="s">
        <v>215</v>
      </c>
      <c r="F12" s="106">
        <v>0.04</v>
      </c>
      <c r="Q12" s="95"/>
    </row>
    <row r="13" spans="2:22" x14ac:dyDescent="0.3">
      <c r="B13" t="s">
        <v>207</v>
      </c>
      <c r="C13">
        <f>C6+(C7-C6)*C9</f>
        <v>8.8968000000000005E-2</v>
      </c>
      <c r="E13" t="s">
        <v>210</v>
      </c>
      <c r="F13" s="5">
        <f>C17</f>
        <v>0.10443353716966311</v>
      </c>
    </row>
    <row r="14" spans="2:22" x14ac:dyDescent="0.3">
      <c r="B14" t="s">
        <v>208</v>
      </c>
      <c r="C14">
        <f>C4/SUM(C4:C5)</f>
        <v>0.97037009335578106</v>
      </c>
      <c r="E14" s="101" t="s">
        <v>216</v>
      </c>
      <c r="F14" s="107">
        <f>(O10*(1+F12))/(F13-F12)</f>
        <v>107013.37014013686</v>
      </c>
      <c r="G14" s="58"/>
      <c r="H14" s="58"/>
      <c r="I14" s="58"/>
      <c r="J14" s="58"/>
      <c r="K14" s="58"/>
      <c r="L14" s="58"/>
      <c r="M14" s="58"/>
      <c r="N14" s="58"/>
      <c r="O14" s="58"/>
    </row>
    <row r="15" spans="2:22" x14ac:dyDescent="0.3">
      <c r="B15" t="s">
        <v>209</v>
      </c>
      <c r="C15">
        <f>C5/SUM(C4:C5)</f>
        <v>2.9629906644218898E-2</v>
      </c>
      <c r="E15" s="2"/>
      <c r="F15" s="58"/>
      <c r="G15" s="58"/>
      <c r="H15" s="58"/>
      <c r="I15" s="58"/>
      <c r="J15" s="58"/>
      <c r="K15" s="58"/>
      <c r="L15" s="58"/>
      <c r="M15" s="58"/>
      <c r="N15" s="58"/>
      <c r="O15" s="58"/>
    </row>
    <row r="16" spans="2:22" x14ac:dyDescent="0.3">
      <c r="E16" t="s">
        <v>220</v>
      </c>
      <c r="F16" s="58">
        <f>1/((1+$F$13)^F3)</f>
        <v>0.90544153753489276</v>
      </c>
      <c r="G16" s="58">
        <f t="shared" ref="G16:N16" si="2">1/((1+$F$13)^G3)</f>
        <v>0.81982437789355067</v>
      </c>
      <c r="H16" s="58">
        <f t="shared" si="2"/>
        <v>0.74230304522852353</v>
      </c>
      <c r="I16" s="58">
        <f t="shared" si="2"/>
        <v>0.67211201058854741</v>
      </c>
      <c r="J16" s="58">
        <f t="shared" si="2"/>
        <v>0.60855813226296251</v>
      </c>
      <c r="K16" s="58">
        <f t="shared" si="2"/>
        <v>0.55101381095553947</v>
      </c>
      <c r="L16" s="58">
        <f t="shared" si="2"/>
        <v>0.49891079219454437</v>
      </c>
      <c r="M16" s="58">
        <f t="shared" si="2"/>
        <v>0.45173455477737973</v>
      </c>
      <c r="N16" s="58">
        <f t="shared" si="2"/>
        <v>0.40901922983527095</v>
      </c>
      <c r="O16" s="58">
        <f>1/((1+$F$13)^O3)</f>
        <v>0.37034300034338541</v>
      </c>
    </row>
    <row r="17" spans="2:15" x14ac:dyDescent="0.3">
      <c r="B17" s="101" t="s">
        <v>210</v>
      </c>
      <c r="C17" s="100">
        <f>(C14*C13)+(C15*C11*(1-C10))</f>
        <v>0.10443353716966311</v>
      </c>
      <c r="E17" t="s">
        <v>217</v>
      </c>
      <c r="F17" s="58">
        <f>F10*F16</f>
        <v>1644.2381955934281</v>
      </c>
      <c r="G17" s="58">
        <f t="shared" ref="G17:O17" si="3">G10*G16</f>
        <v>794.42071727101836</v>
      </c>
      <c r="H17" s="58">
        <f t="shared" si="3"/>
        <v>936.28520568262343</v>
      </c>
      <c r="I17" s="58">
        <f t="shared" si="3"/>
        <v>1962.0897189299794</v>
      </c>
      <c r="J17" s="58">
        <f t="shared" si="3"/>
        <v>1732.4010688069513</v>
      </c>
      <c r="K17" s="58">
        <f t="shared" si="3"/>
        <v>540.32962243934628</v>
      </c>
      <c r="L17" s="58">
        <f t="shared" si="3"/>
        <v>2758.2090524917717</v>
      </c>
      <c r="M17" s="58">
        <f t="shared" si="3"/>
        <v>3157.9562055235397</v>
      </c>
      <c r="N17" s="58">
        <f t="shared" si="3"/>
        <v>2401.3175348745372</v>
      </c>
      <c r="O17" s="58">
        <f t="shared" si="3"/>
        <v>2455.3918839017292</v>
      </c>
    </row>
    <row r="18" spans="2:15" x14ac:dyDescent="0.3">
      <c r="E18" t="s">
        <v>218</v>
      </c>
      <c r="F18" s="58"/>
      <c r="G18" s="58"/>
      <c r="H18" s="58"/>
      <c r="I18" s="58"/>
      <c r="J18" s="58"/>
      <c r="K18" s="58"/>
      <c r="L18" s="58"/>
      <c r="M18" s="58"/>
      <c r="N18" s="58"/>
      <c r="O18" s="58">
        <f>F14*O16</f>
        <v>39631.652574555534</v>
      </c>
    </row>
    <row r="19" spans="2:15" x14ac:dyDescent="0.3">
      <c r="F19" s="58"/>
      <c r="G19" s="58"/>
      <c r="H19" s="58"/>
      <c r="I19" s="58"/>
      <c r="J19" s="58"/>
      <c r="K19" s="58"/>
      <c r="L19" s="58"/>
      <c r="M19" s="58"/>
      <c r="N19" s="58"/>
      <c r="O19" s="58"/>
    </row>
    <row r="20" spans="2:15" x14ac:dyDescent="0.3">
      <c r="E20" s="101" t="s">
        <v>219</v>
      </c>
      <c r="F20" s="107">
        <f>SUM(F17:O18)</f>
        <v>58014.29178007046</v>
      </c>
      <c r="G20" s="58"/>
      <c r="H20" s="58"/>
      <c r="I20" s="58"/>
      <c r="J20" s="58"/>
      <c r="K20" s="58"/>
      <c r="L20" s="58"/>
      <c r="M20" s="58"/>
      <c r="N20" s="58"/>
      <c r="O20" s="58"/>
    </row>
    <row r="21" spans="2:15" x14ac:dyDescent="0.3">
      <c r="E21" s="101" t="s">
        <v>221</v>
      </c>
      <c r="F21" s="107">
        <f>F20-'Historical FS'!C38-'Historical FS'!C51</f>
        <v>54828.29178007046</v>
      </c>
      <c r="G21" s="58"/>
      <c r="H21" s="58"/>
      <c r="I21" s="58"/>
      <c r="J21" s="58"/>
      <c r="K21" s="58"/>
      <c r="L21" s="58"/>
      <c r="M21" s="58"/>
      <c r="N21" s="58"/>
      <c r="O21" s="58"/>
    </row>
    <row r="23" spans="2:15" x14ac:dyDescent="0.3">
      <c r="E23" t="s">
        <v>222</v>
      </c>
      <c r="F23" s="89">
        <f>'Data Sheet'!K93/10</f>
        <v>23.496000000000002</v>
      </c>
    </row>
    <row r="24" spans="2:15" x14ac:dyDescent="0.3">
      <c r="E24" s="101" t="s">
        <v>223</v>
      </c>
      <c r="F24" s="107">
        <f>F21/F23</f>
        <v>2333.5159933635705</v>
      </c>
    </row>
  </sheetData>
  <mergeCells count="2">
    <mergeCell ref="E2:O2"/>
    <mergeCell ref="Q2:V2"/>
  </mergeCells>
  <pageMargins left="0.7" right="0.7" top="0.75" bottom="0.75" header="0.3" footer="0.3"/>
  <ignoredErrors>
    <ignoredError sqref="C14:C15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6780-1ACE-4765-8FFC-CD0AADA530D0}">
  <dimension ref="B2:P23"/>
  <sheetViews>
    <sheetView showGridLines="0" workbookViewId="0">
      <selection activeCell="P23" sqref="P23"/>
    </sheetView>
  </sheetViews>
  <sheetFormatPr defaultRowHeight="14.4" x14ac:dyDescent="0.3"/>
  <cols>
    <col min="1" max="1" width="1.88671875" customWidth="1"/>
    <col min="2" max="2" width="20.33203125" bestFit="1" customWidth="1"/>
    <col min="3" max="3" width="10.33203125" bestFit="1" customWidth="1"/>
    <col min="4" max="4" width="17.5546875" bestFit="1" customWidth="1"/>
    <col min="5" max="5" width="10.77734375" bestFit="1" customWidth="1"/>
    <col min="6" max="6" width="12" bestFit="1" customWidth="1"/>
    <col min="7" max="7" width="14.77734375" bestFit="1" customWidth="1"/>
    <col min="9" max="9" width="8.33203125" bestFit="1" customWidth="1"/>
    <col min="10" max="11" width="8" bestFit="1" customWidth="1"/>
    <col min="12" max="12" width="10.6640625" bestFit="1" customWidth="1"/>
    <col min="14" max="16" width="16.6640625" bestFit="1" customWidth="1"/>
  </cols>
  <sheetData>
    <row r="2" spans="2:16" x14ac:dyDescent="0.3">
      <c r="B2" s="136" t="str">
        <f>"COMP Analysis For "&amp;'Data Sheet'!$B$1</f>
        <v>COMP Analysis For HINDUSTAN UNILEVER LTD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2:16" x14ac:dyDescent="0.3">
      <c r="B3" s="114"/>
      <c r="C3" s="137" t="s">
        <v>224</v>
      </c>
      <c r="D3" s="137"/>
      <c r="E3" s="137"/>
      <c r="F3" s="137"/>
      <c r="G3" s="137"/>
      <c r="H3" s="113"/>
      <c r="I3" s="137" t="s">
        <v>225</v>
      </c>
      <c r="J3" s="137"/>
      <c r="K3" s="137"/>
      <c r="L3" s="137"/>
      <c r="M3" s="113"/>
      <c r="N3" s="137" t="s">
        <v>226</v>
      </c>
      <c r="O3" s="137"/>
      <c r="P3" s="137"/>
    </row>
    <row r="4" spans="2:16" x14ac:dyDescent="0.3">
      <c r="B4" s="114" t="s">
        <v>227</v>
      </c>
      <c r="C4" s="115" t="s">
        <v>223</v>
      </c>
      <c r="D4" s="115" t="s">
        <v>228</v>
      </c>
      <c r="E4" s="115" t="s">
        <v>229</v>
      </c>
      <c r="F4" s="115" t="s">
        <v>230</v>
      </c>
      <c r="G4" s="115" t="s">
        <v>219</v>
      </c>
      <c r="H4" s="115"/>
      <c r="I4" s="115" t="s">
        <v>231</v>
      </c>
      <c r="J4" s="115" t="s">
        <v>101</v>
      </c>
      <c r="K4" s="115" t="s">
        <v>104</v>
      </c>
      <c r="L4" s="115" t="s">
        <v>232</v>
      </c>
      <c r="M4" s="115"/>
      <c r="N4" s="115" t="s">
        <v>233</v>
      </c>
      <c r="O4" s="115" t="s">
        <v>234</v>
      </c>
      <c r="P4" s="115" t="s">
        <v>235</v>
      </c>
    </row>
    <row r="5" spans="2:16" x14ac:dyDescent="0.3">
      <c r="B5" s="20" t="s">
        <v>248</v>
      </c>
      <c r="C5" s="118">
        <v>2297.3000000000002</v>
      </c>
      <c r="D5" s="119">
        <v>234.96</v>
      </c>
      <c r="E5" s="117">
        <f>C5*D5</f>
        <v>539773.60800000001</v>
      </c>
      <c r="F5" s="117">
        <f>'Historical FS'!C38-'Historical FS'!C51</f>
        <v>-2832</v>
      </c>
      <c r="G5" s="117">
        <f>SUM(F5,E5)</f>
        <v>536941.60800000001</v>
      </c>
      <c r="H5" s="116"/>
      <c r="I5" s="117">
        <f>'Historical FS'!L6</f>
        <v>63121</v>
      </c>
      <c r="J5" s="117">
        <f>'Historical FS'!L16</f>
        <v>14843</v>
      </c>
      <c r="K5" s="117">
        <f>'Historical FS'!L21</f>
        <v>13488</v>
      </c>
      <c r="L5" s="117">
        <f>'Historical FS'!L31</f>
        <v>9349</v>
      </c>
      <c r="M5" s="116"/>
      <c r="N5" s="120">
        <f>G5/I5</f>
        <v>8.5065446998621699</v>
      </c>
      <c r="O5" s="120">
        <f>G5/J5</f>
        <v>36.17473610456107</v>
      </c>
      <c r="P5" s="120">
        <f>E5/L5</f>
        <v>57.735972617392235</v>
      </c>
    </row>
    <row r="6" spans="2:16" x14ac:dyDescent="0.3">
      <c r="B6" s="20" t="s">
        <v>245</v>
      </c>
      <c r="C6" s="118">
        <v>415.9</v>
      </c>
      <c r="D6" s="119">
        <v>1251.4100000000001</v>
      </c>
      <c r="E6" s="117">
        <f t="shared" ref="E6:E8" si="0">C6*D6</f>
        <v>520461.41899999999</v>
      </c>
      <c r="F6" s="118">
        <f>242-3490</f>
        <v>-3248</v>
      </c>
      <c r="G6" s="117">
        <f t="shared" ref="G6:G8" si="1">SUM(F6,E6)</f>
        <v>517213.41899999999</v>
      </c>
      <c r="H6" s="116"/>
      <c r="I6" s="118">
        <v>75323</v>
      </c>
      <c r="J6" s="118">
        <v>43634.33</v>
      </c>
      <c r="K6" s="118">
        <v>41998.01</v>
      </c>
      <c r="L6" s="118">
        <v>34746.629999999997</v>
      </c>
      <c r="M6" s="116"/>
      <c r="N6" s="120">
        <f t="shared" ref="N6:N8" si="2">G6/I6</f>
        <v>6.8666067336670071</v>
      </c>
      <c r="O6" s="120">
        <f t="shared" ref="O6:O8" si="3">G6/J6</f>
        <v>11.853359934711957</v>
      </c>
      <c r="P6" s="120">
        <f t="shared" ref="P6:P8" si="4">E6/L6</f>
        <v>14.978759637985037</v>
      </c>
    </row>
    <row r="7" spans="2:16" x14ac:dyDescent="0.3">
      <c r="B7" s="20" t="s">
        <v>246</v>
      </c>
      <c r="C7" s="118">
        <v>535.9</v>
      </c>
      <c r="D7" s="119">
        <v>11.75</v>
      </c>
      <c r="E7" s="117">
        <f t="shared" si="0"/>
        <v>6296.8249999999998</v>
      </c>
      <c r="F7" s="118">
        <f>100-5</f>
        <v>95</v>
      </c>
      <c r="G7" s="117">
        <f t="shared" si="1"/>
        <v>6391.8249999999998</v>
      </c>
      <c r="H7" s="116"/>
      <c r="I7" s="118">
        <v>3564.38</v>
      </c>
      <c r="J7" s="118">
        <v>307.7</v>
      </c>
      <c r="K7" s="118">
        <v>227.97</v>
      </c>
      <c r="L7" s="118">
        <v>109.64</v>
      </c>
      <c r="M7" s="116"/>
      <c r="N7" s="120">
        <f t="shared" si="2"/>
        <v>1.7932501585128409</v>
      </c>
      <c r="O7" s="120">
        <f t="shared" si="3"/>
        <v>20.772911927201822</v>
      </c>
      <c r="P7" s="120">
        <f t="shared" si="4"/>
        <v>57.431822327617652</v>
      </c>
    </row>
    <row r="8" spans="2:16" x14ac:dyDescent="0.3">
      <c r="B8" s="20" t="s">
        <v>247</v>
      </c>
      <c r="C8" s="118">
        <v>266.95</v>
      </c>
      <c r="D8" s="119">
        <v>5.12</v>
      </c>
      <c r="E8" s="117">
        <f t="shared" si="0"/>
        <v>1366.7839999999999</v>
      </c>
      <c r="F8" s="118">
        <f>589-44</f>
        <v>545</v>
      </c>
      <c r="G8" s="117">
        <f t="shared" si="1"/>
        <v>1911.7839999999999</v>
      </c>
      <c r="H8" s="116"/>
      <c r="I8" s="118">
        <v>1870</v>
      </c>
      <c r="J8" s="118">
        <v>120.31</v>
      </c>
      <c r="K8" s="118">
        <v>70.25</v>
      </c>
      <c r="L8" s="118">
        <v>-23.41</v>
      </c>
      <c r="M8" s="116"/>
      <c r="N8" s="120">
        <f t="shared" si="2"/>
        <v>1.022344385026738</v>
      </c>
      <c r="O8" s="120">
        <f t="shared" si="3"/>
        <v>15.89048291912559</v>
      </c>
      <c r="P8" s="120">
        <f t="shared" si="4"/>
        <v>-58.384621956428873</v>
      </c>
    </row>
    <row r="9" spans="2:16" x14ac:dyDescent="0.3">
      <c r="B9" s="20"/>
      <c r="C9" s="116"/>
      <c r="D9" s="116"/>
      <c r="E9" s="117"/>
      <c r="F9" s="117"/>
      <c r="G9" s="117"/>
      <c r="H9" s="116"/>
      <c r="I9" s="116"/>
      <c r="J9" s="116"/>
      <c r="K9" s="116"/>
      <c r="L9" s="116"/>
      <c r="M9" s="116"/>
      <c r="N9" s="110"/>
      <c r="O9" s="110"/>
      <c r="P9" s="110"/>
    </row>
    <row r="10" spans="2:16" x14ac:dyDescent="0.3">
      <c r="I10" s="108"/>
      <c r="J10" s="108"/>
      <c r="K10" s="108"/>
      <c r="L10" s="108"/>
    </row>
    <row r="11" spans="2:16" x14ac:dyDescent="0.3">
      <c r="B11" s="20" t="s">
        <v>236</v>
      </c>
      <c r="N11" s="110">
        <f>MAX(N5:N8)</f>
        <v>8.5065446998621699</v>
      </c>
      <c r="O11" s="110">
        <f t="shared" ref="O11:P11" si="5">MAX(O5:O8)</f>
        <v>36.17473610456107</v>
      </c>
      <c r="P11" s="110">
        <f t="shared" si="5"/>
        <v>57.735972617392235</v>
      </c>
    </row>
    <row r="12" spans="2:16" x14ac:dyDescent="0.3">
      <c r="B12" s="20" t="s">
        <v>237</v>
      </c>
      <c r="N12" s="110">
        <f>QUARTILE(N5:N8,3)</f>
        <v>7.2765912252157978</v>
      </c>
      <c r="O12" s="110">
        <f t="shared" ref="O12:P12" si="6">QUARTILE(O5:O8,3)</f>
        <v>24.623367971541633</v>
      </c>
      <c r="P12" s="110">
        <f t="shared" si="6"/>
        <v>57.507859900061298</v>
      </c>
    </row>
    <row r="13" spans="2:16" s="2" customFormat="1" x14ac:dyDescent="0.3">
      <c r="B13" s="111" t="s">
        <v>238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112">
        <f>MEDIAN(N5:N8)</f>
        <v>4.3299284460899239</v>
      </c>
      <c r="O13" s="112">
        <f t="shared" ref="O13:P13" si="7">MEDIAN(O5:O8)</f>
        <v>18.331697423163707</v>
      </c>
      <c r="P13" s="112">
        <f t="shared" si="7"/>
        <v>36.205290982801344</v>
      </c>
    </row>
    <row r="14" spans="2:16" s="2" customFormat="1" x14ac:dyDescent="0.3">
      <c r="B14" s="111" t="s">
        <v>239</v>
      </c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112">
        <f>AVERAGE(N5:N8)</f>
        <v>4.5471864942671889</v>
      </c>
      <c r="O14" s="112">
        <f t="shared" ref="O14:P14" si="8">AVERAGE(O5:O8)</f>
        <v>21.172872721400108</v>
      </c>
      <c r="P14" s="112">
        <f t="shared" si="8"/>
        <v>17.940483156641513</v>
      </c>
    </row>
    <row r="15" spans="2:16" x14ac:dyDescent="0.3">
      <c r="B15" s="20" t="s">
        <v>240</v>
      </c>
      <c r="N15" s="110">
        <f>QUARTILE(N5:N8,1)</f>
        <v>1.6005237151413152</v>
      </c>
      <c r="O15" s="110">
        <f t="shared" ref="O15:P15" si="9">QUARTILE(O5:O8,1)</f>
        <v>14.881202173022182</v>
      </c>
      <c r="P15" s="110">
        <f t="shared" si="9"/>
        <v>-3.3620857606184416</v>
      </c>
    </row>
    <row r="16" spans="2:16" x14ac:dyDescent="0.3">
      <c r="B16" s="20" t="s">
        <v>241</v>
      </c>
      <c r="N16" s="110">
        <f>MIN(N5:N8)</f>
        <v>1.022344385026738</v>
      </c>
      <c r="O16" s="110">
        <f t="shared" ref="O16:P16" si="10">MIN(O5:O8)</f>
        <v>11.853359934711957</v>
      </c>
      <c r="P16" s="110">
        <f t="shared" si="10"/>
        <v>-58.384621956428873</v>
      </c>
    </row>
    <row r="18" spans="2:16" x14ac:dyDescent="0.3">
      <c r="B18" s="121" t="s">
        <v>248</v>
      </c>
      <c r="N18" s="115" t="s">
        <v>233</v>
      </c>
      <c r="O18" s="115" t="s">
        <v>234</v>
      </c>
      <c r="P18" s="115" t="s">
        <v>235</v>
      </c>
    </row>
    <row r="19" spans="2:16" x14ac:dyDescent="0.3">
      <c r="B19" t="s">
        <v>242</v>
      </c>
      <c r="N19" s="117">
        <f>$G$5*N13</f>
        <v>2324918.7423684653</v>
      </c>
      <c r="O19" s="117">
        <f>$G$5*O13</f>
        <v>9843051.0917629767</v>
      </c>
      <c r="P19" s="117">
        <f>$G$5*P13</f>
        <v>19440127.158413254</v>
      </c>
    </row>
    <row r="20" spans="2:16" x14ac:dyDescent="0.3">
      <c r="B20" t="s">
        <v>230</v>
      </c>
      <c r="N20" s="117">
        <f>$F$5</f>
        <v>-2832</v>
      </c>
      <c r="O20" s="117">
        <f t="shared" ref="O20:P20" si="11">$F$5</f>
        <v>-2832</v>
      </c>
      <c r="P20" s="117">
        <f t="shared" si="11"/>
        <v>-2832</v>
      </c>
    </row>
    <row r="21" spans="2:16" x14ac:dyDescent="0.3">
      <c r="B21" t="s">
        <v>243</v>
      </c>
      <c r="N21" s="117">
        <f>N19+N20</f>
        <v>2322086.7423684653</v>
      </c>
      <c r="O21" s="117">
        <f t="shared" ref="O21:P21" si="12">O19+O20</f>
        <v>9840219.0917629767</v>
      </c>
      <c r="P21" s="117">
        <f t="shared" si="12"/>
        <v>19437295.158413254</v>
      </c>
    </row>
    <row r="22" spans="2:16" x14ac:dyDescent="0.3">
      <c r="B22" t="s">
        <v>228</v>
      </c>
      <c r="N22" s="109">
        <f>$D$5</f>
        <v>234.96</v>
      </c>
      <c r="O22" s="109">
        <f t="shared" ref="O22:P22" si="13">$D$5</f>
        <v>234.96</v>
      </c>
      <c r="P22" s="109">
        <f t="shared" si="13"/>
        <v>234.96</v>
      </c>
    </row>
    <row r="23" spans="2:16" x14ac:dyDescent="0.3">
      <c r="B23" s="68" t="s">
        <v>244</v>
      </c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122">
        <f>N21/N22</f>
        <v>9882.9023764405229</v>
      </c>
      <c r="O23" s="122">
        <f t="shared" ref="O23:P23" si="14">O21/O22</f>
        <v>41880.401309852641</v>
      </c>
      <c r="P23" s="122">
        <f t="shared" si="14"/>
        <v>82725.975308193956</v>
      </c>
    </row>
  </sheetData>
  <mergeCells count="4">
    <mergeCell ref="B2:P2"/>
    <mergeCell ref="C3:G3"/>
    <mergeCell ref="I3:L3"/>
    <mergeCell ref="N3:P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B443-19B5-400E-8220-15A9CC3A4161}">
  <dimension ref="B2:Q44"/>
  <sheetViews>
    <sheetView showGridLines="0" topLeftCell="A17" workbookViewId="0">
      <selection activeCell="C40" sqref="C40"/>
    </sheetView>
  </sheetViews>
  <sheetFormatPr defaultRowHeight="14.4" x14ac:dyDescent="0.3"/>
  <cols>
    <col min="1" max="1" width="1.88671875" customWidth="1"/>
    <col min="2" max="2" width="18.21875" bestFit="1" customWidth="1"/>
  </cols>
  <sheetData>
    <row r="2" spans="2:17" x14ac:dyDescent="0.3">
      <c r="B2" s="135" t="str">
        <f>"Common Size Income Statement for "&amp;'Data Sheet'!$B$1</f>
        <v>Common Size Income Statement for HINDUSTAN UNILEVER LTD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98"/>
      <c r="N2" s="98"/>
      <c r="O2" s="98"/>
      <c r="P2" s="98"/>
      <c r="Q2" s="98"/>
    </row>
    <row r="3" spans="2:17" x14ac:dyDescent="0.3">
      <c r="B3" s="31" t="s">
        <v>93</v>
      </c>
      <c r="C3" s="65">
        <f>'Data Sheet'!B16</f>
        <v>42460</v>
      </c>
      <c r="D3" s="65">
        <f>'Data Sheet'!C16</f>
        <v>42825</v>
      </c>
      <c r="E3" s="65">
        <f>'Data Sheet'!D16</f>
        <v>43190</v>
      </c>
      <c r="F3" s="65">
        <f>'Data Sheet'!E16</f>
        <v>43555</v>
      </c>
      <c r="G3" s="65">
        <f>'Data Sheet'!F16</f>
        <v>43921</v>
      </c>
      <c r="H3" s="65">
        <f>'Data Sheet'!G16</f>
        <v>44286</v>
      </c>
      <c r="I3" s="65">
        <f>'Data Sheet'!H16</f>
        <v>44651</v>
      </c>
      <c r="J3" s="65">
        <f>'Data Sheet'!I16</f>
        <v>45016</v>
      </c>
      <c r="K3" s="65">
        <f>'Data Sheet'!J16</f>
        <v>45382</v>
      </c>
      <c r="L3" s="65">
        <f>'Data Sheet'!K16</f>
        <v>45747</v>
      </c>
      <c r="M3" s="124"/>
      <c r="N3" s="124"/>
      <c r="O3" s="124"/>
      <c r="P3" s="124"/>
      <c r="Q3" s="124"/>
    </row>
    <row r="4" spans="2:17" x14ac:dyDescent="0.3">
      <c r="B4" s="125" t="str">
        <f>'Data Sheet'!A17</f>
        <v>Sales</v>
      </c>
      <c r="C4" s="99">
        <f>'Data Sheet'!B17/'Data Sheet'!B$17</f>
        <v>1</v>
      </c>
      <c r="D4" s="99">
        <f>'Data Sheet'!C17/'Data Sheet'!C$17</f>
        <v>1</v>
      </c>
      <c r="E4" s="99">
        <f>'Data Sheet'!D17/'Data Sheet'!D$17</f>
        <v>1</v>
      </c>
      <c r="F4" s="99">
        <f>'Data Sheet'!E17/'Data Sheet'!E$17</f>
        <v>1</v>
      </c>
      <c r="G4" s="99">
        <f>'Data Sheet'!F17/'Data Sheet'!F$17</f>
        <v>1</v>
      </c>
      <c r="H4" s="99">
        <f>'Data Sheet'!G17/'Data Sheet'!G$17</f>
        <v>1</v>
      </c>
      <c r="I4" s="99">
        <f>'Data Sheet'!H17/'Data Sheet'!H$17</f>
        <v>1</v>
      </c>
      <c r="J4" s="99">
        <f>'Data Sheet'!I17/'Data Sheet'!I$17</f>
        <v>1</v>
      </c>
      <c r="K4" s="99">
        <f>'Data Sheet'!J17/'Data Sheet'!J$17</f>
        <v>1</v>
      </c>
      <c r="L4" s="99">
        <f>'Data Sheet'!K17/'Data Sheet'!K$17</f>
        <v>1</v>
      </c>
    </row>
    <row r="5" spans="2:17" x14ac:dyDescent="0.3">
      <c r="B5" s="123" t="str">
        <f>'Data Sheet'!A18</f>
        <v>Raw Material Cost</v>
      </c>
      <c r="C5" s="96">
        <f>'Data Sheet'!B18/'Data Sheet'!B$17</f>
        <v>0.40961908904492639</v>
      </c>
      <c r="D5" s="96">
        <f>'Data Sheet'!C18/'Data Sheet'!C$17</f>
        <v>0.41028888486822268</v>
      </c>
      <c r="E5" s="96">
        <f>'Data Sheet'!D18/'Data Sheet'!D$17</f>
        <v>0.40042200028133351</v>
      </c>
      <c r="F5" s="96">
        <f>'Data Sheet'!E18/'Data Sheet'!E$17</f>
        <v>0.40307809717629101</v>
      </c>
      <c r="G5" s="96">
        <f>'Data Sheet'!F18/'Data Sheet'!F$17</f>
        <v>0.39456551793479627</v>
      </c>
      <c r="H5" s="96">
        <f>'Data Sheet'!G18/'Data Sheet'!G$17</f>
        <v>0.42827677128519182</v>
      </c>
      <c r="I5" s="96">
        <f>'Data Sheet'!H18/'Data Sheet'!H$17</f>
        <v>0.43608664149792165</v>
      </c>
      <c r="J5" s="96">
        <f>'Data Sheet'!I18/'Data Sheet'!I$17</f>
        <v>0.46924727632882141</v>
      </c>
      <c r="K5" s="96">
        <f>'Data Sheet'!J18/'Data Sheet'!J$17</f>
        <v>0.43333979578648057</v>
      </c>
      <c r="L5" s="96">
        <f>'Data Sheet'!K18/'Data Sheet'!K$17</f>
        <v>0.43319972750748564</v>
      </c>
    </row>
    <row r="6" spans="2:17" x14ac:dyDescent="0.3">
      <c r="B6" s="123" t="str">
        <f>'Data Sheet'!A19</f>
        <v>Change in Inventory</v>
      </c>
      <c r="C6" s="96">
        <f>'Data Sheet'!B19/'Data Sheet'!B$17</f>
        <v>-2.5787609519666937E-3</v>
      </c>
      <c r="D6" s="96">
        <f>'Data Sheet'!C19/'Data Sheet'!C$17</f>
        <v>-4.3423195223448521E-3</v>
      </c>
      <c r="E6" s="96">
        <f>'Data Sheet'!D19/'Data Sheet'!D$17</f>
        <v>2.0256013504009003E-3</v>
      </c>
      <c r="F6" s="96">
        <f>'Data Sheet'!E19/'Data Sheet'!E$17</f>
        <v>-3.0526583566522515E-4</v>
      </c>
      <c r="G6" s="96">
        <f>'Data Sheet'!F19/'Data Sheet'!F$17</f>
        <v>2.7147273961239727E-3</v>
      </c>
      <c r="H6" s="96">
        <f>'Data Sheet'!G19/'Data Sheet'!G$17</f>
        <v>8.6118907884664454E-3</v>
      </c>
      <c r="I6" s="96">
        <f>'Data Sheet'!H19/'Data Sheet'!H$17</f>
        <v>4.1947908324753078E-4</v>
      </c>
      <c r="J6" s="96">
        <f>'Data Sheet'!I19/'Data Sheet'!I$17</f>
        <v>1.2380323539121821E-3</v>
      </c>
      <c r="K6" s="96">
        <f>'Data Sheet'!J19/'Data Sheet'!J$17</f>
        <v>1.7771746154840378E-4</v>
      </c>
      <c r="L6" s="96">
        <f>'Data Sheet'!K19/'Data Sheet'!K$17</f>
        <v>2.4239159709130084E-3</v>
      </c>
    </row>
    <row r="7" spans="2:17" x14ac:dyDescent="0.3">
      <c r="B7" s="123" t="str">
        <f>'Data Sheet'!A20</f>
        <v>Power and Fuel</v>
      </c>
      <c r="C7" s="96">
        <f>'Data Sheet'!B20/'Data Sheet'!B$17</f>
        <v>9.6004473994904613E-3</v>
      </c>
      <c r="D7" s="96">
        <f>'Data Sheet'!C20/'Data Sheet'!C$17</f>
        <v>8.8957240214703574E-3</v>
      </c>
      <c r="E7" s="96">
        <f>'Data Sheet'!D20/'Data Sheet'!D$17</f>
        <v>8.2993388662259103E-3</v>
      </c>
      <c r="F7" s="96">
        <f>'Data Sheet'!E20/'Data Sheet'!E$17</f>
        <v>7.8351564487407783E-3</v>
      </c>
      <c r="G7" s="96">
        <f>'Data Sheet'!F20/'Data Sheet'!F$17</f>
        <v>7.5157730688987755E-3</v>
      </c>
      <c r="H7" s="96">
        <f>'Data Sheet'!G20/'Data Sheet'!G$17</f>
        <v>7.2084715488645061E-3</v>
      </c>
      <c r="I7" s="96">
        <f>'Data Sheet'!H20/'Data Sheet'!H$17</f>
        <v>6.0633794760324902E-3</v>
      </c>
      <c r="J7" s="96">
        <f>'Data Sheet'!I20/'Data Sheet'!I$17</f>
        <v>6.3387256520303732E-3</v>
      </c>
      <c r="K7" s="96">
        <f>'Data Sheet'!J20/'Data Sheet'!J$17</f>
        <v>7.2056352591443711E-3</v>
      </c>
      <c r="L7" s="96">
        <f>'Data Sheet'!K20/'Data Sheet'!K$17</f>
        <v>6.7647850952931672E-3</v>
      </c>
    </row>
    <row r="8" spans="2:17" x14ac:dyDescent="0.3">
      <c r="B8" s="123" t="str">
        <f>'Data Sheet'!A21</f>
        <v>Other Mfr. Exp</v>
      </c>
      <c r="C8" s="96">
        <f>'Data Sheet'!B21/'Data Sheet'!B$17</f>
        <v>9.21518672714845E-2</v>
      </c>
      <c r="D8" s="96">
        <f>'Data Sheet'!C21/'Data Sheet'!C$17</f>
        <v>8.7057475423677699E-2</v>
      </c>
      <c r="E8" s="96">
        <f>'Data Sheet'!D21/'Data Sheet'!D$17</f>
        <v>8.4343789562526375E-2</v>
      </c>
      <c r="F8" s="96">
        <f>'Data Sheet'!E21/'Data Sheet'!E$17</f>
        <v>7.7359450521495801E-2</v>
      </c>
      <c r="G8" s="96">
        <f>'Data Sheet'!F21/'Data Sheet'!F$17</f>
        <v>7.3046276047558006E-2</v>
      </c>
      <c r="H8" s="96">
        <f>'Data Sheet'!G21/'Data Sheet'!G$17</f>
        <v>6.0984945139066091E-2</v>
      </c>
      <c r="I8" s="96">
        <f>'Data Sheet'!H21/'Data Sheet'!H$17</f>
        <v>6.3951492964191739E-2</v>
      </c>
      <c r="J8" s="96">
        <f>'Data Sheet'!I21/'Data Sheet'!I$17</f>
        <v>6.2578408715747769E-2</v>
      </c>
      <c r="K8" s="96">
        <f>'Data Sheet'!J21/'Data Sheet'!J$17</f>
        <v>5.4688509758304249E-2</v>
      </c>
      <c r="L8" s="96">
        <f>'Data Sheet'!K21/'Data Sheet'!K$17</f>
        <v>6.074048256523186E-2</v>
      </c>
    </row>
    <row r="9" spans="2:17" x14ac:dyDescent="0.3">
      <c r="B9" s="123" t="str">
        <f>'Data Sheet'!A22</f>
        <v>Employee Cost</v>
      </c>
      <c r="C9" s="96">
        <f>'Data Sheet'!B22/'Data Sheet'!B$17</f>
        <v>5.2196607220530662E-2</v>
      </c>
      <c r="D9" s="96">
        <f>'Data Sheet'!C22/'Data Sheet'!C$17</f>
        <v>5.2560159218382488E-2</v>
      </c>
      <c r="E9" s="96">
        <f>'Data Sheet'!D22/'Data Sheet'!D$17</f>
        <v>5.2328034885356589E-2</v>
      </c>
      <c r="F9" s="96">
        <f>'Data Sheet'!E22/'Data Sheet'!E$17</f>
        <v>4.7697786822691428E-2</v>
      </c>
      <c r="G9" s="96">
        <f>'Data Sheet'!F22/'Data Sheet'!F$17</f>
        <v>4.574818389764472E-2</v>
      </c>
      <c r="H9" s="96">
        <f>'Data Sheet'!G22/'Data Sheet'!G$17</f>
        <v>5.0140341923960191E-2</v>
      </c>
      <c r="I9" s="96">
        <f>'Data Sheet'!H22/'Data Sheet'!H$17</f>
        <v>4.8526103039316627E-2</v>
      </c>
      <c r="J9" s="96">
        <f>'Data Sheet'!I22/'Data Sheet'!I$17</f>
        <v>4.7111257840871577E-2</v>
      </c>
      <c r="K9" s="96">
        <f>'Data Sheet'!J22/'Data Sheet'!J$17</f>
        <v>4.8613803799922452E-2</v>
      </c>
      <c r="L9" s="96">
        <f>'Data Sheet'!K22/'Data Sheet'!K$17</f>
        <v>4.8747643415028276E-2</v>
      </c>
    </row>
    <row r="10" spans="2:17" x14ac:dyDescent="0.3">
      <c r="B10" s="123" t="str">
        <f>'Data Sheet'!A23</f>
        <v>Selling and admin</v>
      </c>
      <c r="C10" s="96">
        <f>'Data Sheet'!B23/'Data Sheet'!B$17</f>
        <v>0.20943888647237929</v>
      </c>
      <c r="D10" s="96">
        <f>'Data Sheet'!C23/'Data Sheet'!C$17</f>
        <v>0.20170677281225499</v>
      </c>
      <c r="E10" s="96">
        <f>'Data Sheet'!D23/'Data Sheet'!D$17</f>
        <v>0.20402306934871289</v>
      </c>
      <c r="F10" s="96">
        <f>'Data Sheet'!E23/'Data Sheet'!E$17</f>
        <v>0.19832103790384126</v>
      </c>
      <c r="G10" s="96">
        <f>'Data Sheet'!F23/'Data Sheet'!F$17</f>
        <v>0.19153909961541363</v>
      </c>
      <c r="H10" s="96">
        <f>'Data Sheet'!G23/'Data Sheet'!G$17</f>
        <v>0.16811261376201411</v>
      </c>
      <c r="I10" s="96">
        <f>'Data Sheet'!H23/'Data Sheet'!H$17</f>
        <v>0.15566487434694734</v>
      </c>
      <c r="J10" s="96">
        <f>'Data Sheet'!I23/'Data Sheet'!I$17</f>
        <v>0.14501485638824696</v>
      </c>
      <c r="K10" s="96">
        <f>'Data Sheet'!J23/'Data Sheet'!J$17</f>
        <v>0.1741631123174357</v>
      </c>
      <c r="L10" s="96">
        <f>'Data Sheet'!K23/'Data Sheet'!K$17</f>
        <v>0.16940479396714248</v>
      </c>
    </row>
    <row r="11" spans="2:17" x14ac:dyDescent="0.3">
      <c r="B11" s="123" t="str">
        <f>'Data Sheet'!A24</f>
        <v>Other Expenses</v>
      </c>
      <c r="C11" s="96">
        <f>'Data Sheet'!B24/'Data Sheet'!B$17</f>
        <v>4.0794134095569499E-2</v>
      </c>
      <c r="D11" s="96">
        <f>'Data Sheet'!C24/'Data Sheet'!C$17</f>
        <v>4.4327845123937039E-2</v>
      </c>
      <c r="E11" s="96">
        <f>'Data Sheet'!D24/'Data Sheet'!D$17</f>
        <v>4.1637361091574059E-2</v>
      </c>
      <c r="F11" s="96">
        <f>'Data Sheet'!E24/'Data Sheet'!E$17</f>
        <v>3.9506486899007889E-2</v>
      </c>
      <c r="G11" s="96">
        <f>'Data Sheet'!F24/'Data Sheet'!F$17</f>
        <v>4.2430183746826534E-2</v>
      </c>
      <c r="H11" s="96">
        <f>'Data Sheet'!G24/'Data Sheet'!G$17</f>
        <v>4.6674321680700862E-2</v>
      </c>
      <c r="I11" s="96">
        <f>'Data Sheet'!H24/'Data Sheet'!H$17</f>
        <v>4.4979598062769327E-2</v>
      </c>
      <c r="J11" s="96">
        <f>'Data Sheet'!I24/'Data Sheet'!I$17</f>
        <v>3.742159128425223E-2</v>
      </c>
      <c r="K11" s="96">
        <f>'Data Sheet'!J24/'Data Sheet'!J$17</f>
        <v>4.5334108827711002E-2</v>
      </c>
      <c r="L11" s="96">
        <f>'Data Sheet'!K24/'Data Sheet'!K$17</f>
        <v>4.8414949066079432E-2</v>
      </c>
    </row>
    <row r="12" spans="2:17" x14ac:dyDescent="0.3">
      <c r="B12" s="123" t="str">
        <f>'Data Sheet'!A25</f>
        <v>Other Income</v>
      </c>
      <c r="C12" s="96">
        <f>'Data Sheet'!B25/'Data Sheet'!B$17</f>
        <v>1.5099732803082085E-2</v>
      </c>
      <c r="D12" s="96">
        <f>'Data Sheet'!C25/'Data Sheet'!C$17</f>
        <v>1.8273927989867923E-2</v>
      </c>
      <c r="E12" s="96">
        <f>'Data Sheet'!D25/'Data Sheet'!D$17</f>
        <v>9.9310732873821913E-3</v>
      </c>
      <c r="F12" s="96">
        <f>'Data Sheet'!E25/'Data Sheet'!E$17</f>
        <v>8.1912999236835402E-3</v>
      </c>
      <c r="G12" s="96">
        <f>'Data Sheet'!F25/'Data Sheet'!F$17</f>
        <v>1.0657818666264484E-2</v>
      </c>
      <c r="H12" s="96">
        <f>'Data Sheet'!G25/'Data Sheet'!G$17</f>
        <v>3.6148677383686313E-3</v>
      </c>
      <c r="I12" s="96">
        <f>'Data Sheet'!H25/'Data Sheet'!H$17</f>
        <v>4.1757236014186017E-3</v>
      </c>
      <c r="J12" s="96">
        <f>'Data Sheet'!I25/'Data Sheet'!I$17</f>
        <v>7.3951799273687686E-3</v>
      </c>
      <c r="K12" s="96">
        <f>'Data Sheet'!J25/'Data Sheet'!J$17</f>
        <v>1.3199560553185989E-2</v>
      </c>
      <c r="L12" s="96">
        <f>'Data Sheet'!K25/'Data Sheet'!K$17</f>
        <v>2.0943901395732007E-2</v>
      </c>
    </row>
    <row r="13" spans="2:17" x14ac:dyDescent="0.3">
      <c r="B13" s="123" t="str">
        <f>'Data Sheet'!A26</f>
        <v>Depreciation</v>
      </c>
      <c r="C13" s="96">
        <f>'Data Sheet'!B26/'Data Sheet'!B$17</f>
        <v>1.0967501398123409E-2</v>
      </c>
      <c r="D13" s="96">
        <f>'Data Sheet'!C26/'Data Sheet'!C$17</f>
        <v>1.3026958567034558E-2</v>
      </c>
      <c r="E13" s="96">
        <f>'Data Sheet'!D26/'Data Sheet'!D$17</f>
        <v>1.4629343086228723E-2</v>
      </c>
      <c r="F13" s="96">
        <f>'Data Sheet'!E26/'Data Sheet'!E$17</f>
        <v>1.437293309590435E-2</v>
      </c>
      <c r="G13" s="96">
        <f>'Data Sheet'!F26/'Data Sheet'!F$17</f>
        <v>2.5186637508483524E-2</v>
      </c>
      <c r="H13" s="96">
        <f>'Data Sheet'!G26/'Data Sheet'!G$17</f>
        <v>2.2837458535340648E-2</v>
      </c>
      <c r="I13" s="96">
        <f>'Data Sheet'!H26/'Data Sheet'!H$17</f>
        <v>2.0802349082866187E-2</v>
      </c>
      <c r="J13" s="96">
        <f>'Data Sheet'!I26/'Data Sheet'!I$17</f>
        <v>1.8768570485308684E-2</v>
      </c>
      <c r="K13" s="96">
        <f>'Data Sheet'!J26/'Data Sheet'!J$17</f>
        <v>1.9645857567532635E-2</v>
      </c>
      <c r="L13" s="96">
        <f>'Data Sheet'!K26/'Data Sheet'!K$17</f>
        <v>2.1466706801223048E-2</v>
      </c>
    </row>
    <row r="14" spans="2:17" x14ac:dyDescent="0.3">
      <c r="B14" s="123" t="str">
        <f>'Data Sheet'!A27</f>
        <v>Interest</v>
      </c>
      <c r="C14" s="96">
        <f>'Data Sheet'!B27/'Data Sheet'!B$17</f>
        <v>5.2817995401727462E-4</v>
      </c>
      <c r="D14" s="96">
        <f>'Data Sheet'!C27/'Data Sheet'!C$17</f>
        <v>1.0554248839032628E-3</v>
      </c>
      <c r="E14" s="96">
        <f>'Data Sheet'!D27/'Data Sheet'!D$17</f>
        <v>7.3146715431143621E-4</v>
      </c>
      <c r="F14" s="96">
        <f>'Data Sheet'!E27/'Data Sheet'!E$17</f>
        <v>8.3948104807936915E-4</v>
      </c>
      <c r="G14" s="96">
        <f>'Data Sheet'!F27/'Data Sheet'!F$17</f>
        <v>2.9660910439132291E-3</v>
      </c>
      <c r="H14" s="96">
        <f>'Data Sheet'!G27/'Data Sheet'!G$17</f>
        <v>2.4878795611125285E-3</v>
      </c>
      <c r="I14" s="96">
        <f>'Data Sheet'!H27/'Data Sheet'!H$17</f>
        <v>2.0211264920108303E-3</v>
      </c>
      <c r="J14" s="96">
        <f>'Data Sheet'!I27/'Data Sheet'!I$17</f>
        <v>1.881809177946517E-3</v>
      </c>
      <c r="K14" s="96">
        <f>'Data Sheet'!J27/'Data Sheet'!J$17</f>
        <v>5.3961483779242604E-3</v>
      </c>
      <c r="L14" s="96">
        <f>'Data Sheet'!K27/'Data Sheet'!K$17</f>
        <v>6.2578222778473091E-3</v>
      </c>
    </row>
    <row r="15" spans="2:17" x14ac:dyDescent="0.3">
      <c r="B15" s="123" t="str">
        <f>'Data Sheet'!A28</f>
        <v>Profit before tax</v>
      </c>
      <c r="C15" s="96">
        <f>'Data Sheet'!B28/'Data Sheet'!B$17</f>
        <v>0.18722425899459391</v>
      </c>
      <c r="D15" s="96">
        <f>'Data Sheet'!C28/'Data Sheet'!C$17</f>
        <v>0.19501236354864002</v>
      </c>
      <c r="E15" s="96">
        <f>'Data Sheet'!D28/'Data Sheet'!D$17</f>
        <v>0.20554227036151357</v>
      </c>
      <c r="F15" s="96">
        <f>'Data Sheet'!E28/'Data Sheet'!E$17</f>
        <v>0.21887560417196641</v>
      </c>
      <c r="G15" s="96">
        <f>'Data Sheet'!F28/'Data Sheet'!F$17</f>
        <v>0.23037478319885379</v>
      </c>
      <c r="H15" s="96">
        <f>'Data Sheet'!G28/'Data Sheet'!G$17</f>
        <v>0.22550395509058432</v>
      </c>
      <c r="I15" s="96">
        <f>'Data Sheet'!H28/'Data Sheet'!H$17</f>
        <v>0.22649963772260992</v>
      </c>
      <c r="J15" s="96">
        <f>'Data Sheet'!I28/'Data Sheet'!I$17</f>
        <v>0.22027071640805546</v>
      </c>
      <c r="K15" s="96">
        <f>'Data Sheet'!J28/'Data Sheet'!J$17</f>
        <v>0.22499030632027917</v>
      </c>
      <c r="L15" s="96">
        <f>'Data Sheet'!K28/'Data Sheet'!K$17</f>
        <v>0.22837090667131382</v>
      </c>
    </row>
    <row r="16" spans="2:17" x14ac:dyDescent="0.3">
      <c r="B16" s="123" t="str">
        <f>'Data Sheet'!A29</f>
        <v>Tax</v>
      </c>
      <c r="C16" s="96">
        <f>'Data Sheet'!B29/'Data Sheet'!B$17</f>
        <v>5.8255141987199402E-2</v>
      </c>
      <c r="D16" s="96">
        <f>'Data Sheet'!C29/'Data Sheet'!C$17</f>
        <v>5.9616428442192872E-2</v>
      </c>
      <c r="E16" s="96">
        <f>'Data Sheet'!D29/'Data Sheet'!D$17</f>
        <v>5.8489238992825994E-2</v>
      </c>
      <c r="F16" s="96">
        <f>'Data Sheet'!E29/'Data Sheet'!E$17</f>
        <v>6.4716357161027735E-2</v>
      </c>
      <c r="G16" s="96">
        <f>'Data Sheet'!F29/'Data Sheet'!F$17</f>
        <v>6.0553502752431945E-2</v>
      </c>
      <c r="H16" s="96">
        <f>'Data Sheet'!G29/'Data Sheet'!G$17</f>
        <v>5.5413796036403846E-2</v>
      </c>
      <c r="I16" s="96">
        <f>'Data Sheet'!H29/'Data Sheet'!H$17</f>
        <v>5.6953819166380655E-2</v>
      </c>
      <c r="J16" s="96">
        <f>'Data Sheet'!I29/'Data Sheet'!I$17</f>
        <v>5.2839220864971941E-2</v>
      </c>
      <c r="K16" s="96">
        <f>'Data Sheet'!J29/'Data Sheet'!J$17</f>
        <v>5.8872948171125761E-2</v>
      </c>
      <c r="L16" s="96">
        <f>'Data Sheet'!K29/'Data Sheet'!K$17</f>
        <v>5.9314649641165382E-2</v>
      </c>
    </row>
    <row r="17" spans="2:13" x14ac:dyDescent="0.3">
      <c r="B17" s="123" t="str">
        <f>'Data Sheet'!A30</f>
        <v>Net profit</v>
      </c>
      <c r="C17" s="96">
        <f>'Data Sheet'!B30/'Data Sheet'!B$17</f>
        <v>0.12896911700739452</v>
      </c>
      <c r="D17" s="96">
        <f>'Data Sheet'!C30/'Data Sheet'!C$17</f>
        <v>0.13497376515288584</v>
      </c>
      <c r="E17" s="96">
        <f>'Data Sheet'!D30/'Data Sheet'!D$17</f>
        <v>0.14668729779153186</v>
      </c>
      <c r="F17" s="96">
        <f>'Data Sheet'!E30/'Data Sheet'!E$17</f>
        <v>0.15400661409310609</v>
      </c>
      <c r="G17" s="96">
        <f>'Data Sheet'!F30/'Data Sheet'!F$17</f>
        <v>0.16962018952819044</v>
      </c>
      <c r="H17" s="96">
        <f>'Data Sheet'!G30/'Data Sheet'!G$17</f>
        <v>0.17000510334268945</v>
      </c>
      <c r="I17" s="96">
        <f>'Data Sheet'!H30/'Data Sheet'!H$17</f>
        <v>0.16929794455249209</v>
      </c>
      <c r="J17" s="96">
        <f>'Data Sheet'!I30/'Data Sheet'!I$17</f>
        <v>0.16705183228788378</v>
      </c>
      <c r="K17" s="96">
        <f>'Data Sheet'!J30/'Data Sheet'!J$17</f>
        <v>0.16603657748481324</v>
      </c>
      <c r="L17" s="96">
        <f>'Data Sheet'!K30/'Data Sheet'!K$17</f>
        <v>0.16870772009315441</v>
      </c>
    </row>
    <row r="18" spans="2:13" x14ac:dyDescent="0.3">
      <c r="B18" s="123" t="str">
        <f>'Data Sheet'!A31</f>
        <v>Dividend Amount</v>
      </c>
      <c r="C18" s="96">
        <f>'Data Sheet'!B31/'Data Sheet'!B$17</f>
        <v>0.10737587771080594</v>
      </c>
      <c r="D18" s="96">
        <f>'Data Sheet'!C31/'Data Sheet'!C$17</f>
        <v>0.11072914781979373</v>
      </c>
      <c r="E18" s="96">
        <f>'Data Sheet'!D31/'Data Sheet'!D$17</f>
        <v>0.12153608102405401</v>
      </c>
      <c r="F18" s="96">
        <f>'Data Sheet'!E31/'Data Sheet'!E$17</f>
        <v>0.12088527092342916</v>
      </c>
      <c r="G18" s="96">
        <f>'Data Sheet'!F31/'Data Sheet'!F$17</f>
        <v>0.13573636980619863</v>
      </c>
      <c r="H18" s="96">
        <f>'Data Sheet'!G31/'Data Sheet'!G$17</f>
        <v>0.20237943352896148</v>
      </c>
      <c r="I18" s="96">
        <f>'Data Sheet'!H31/'Data Sheet'!H$17</f>
        <v>0.15234717614308049</v>
      </c>
      <c r="J18" s="96">
        <f>'Data Sheet'!I31/'Data Sheet'!I$17</f>
        <v>0.15128755364806867</v>
      </c>
      <c r="K18" s="96">
        <f>'Data Sheet'!J31/'Data Sheet'!J$17</f>
        <v>0.1594610314075223</v>
      </c>
      <c r="L18" s="96">
        <f>'Data Sheet'!K31/'Data Sheet'!K$17</f>
        <v>0.19731943410275501</v>
      </c>
    </row>
    <row r="19" spans="2:13" x14ac:dyDescent="0.3">
      <c r="B19" s="123" t="str">
        <f>'Data Sheet'!A32</f>
        <v>EBITDA</v>
      </c>
      <c r="C19" s="96">
        <f>'Data Sheet'!B32/'Data Sheet'!B$17</f>
        <v>0.1987199403467346</v>
      </c>
      <c r="D19" s="96">
        <f>'Data Sheet'!C32/'Data Sheet'!C$17</f>
        <v>0.20909474699957784</v>
      </c>
      <c r="E19" s="96">
        <f>'Data Sheet'!D32/'Data Sheet'!D$17</f>
        <v>0.22090308060205374</v>
      </c>
      <c r="F19" s="96">
        <f>'Data Sheet'!E32/'Data Sheet'!E$17</f>
        <v>0.23408801831595014</v>
      </c>
      <c r="G19" s="96">
        <f>'Data Sheet'!F32/'Data Sheet'!F$17</f>
        <v>0.25852751175125055</v>
      </c>
      <c r="H19" s="96">
        <f>'Data Sheet'!G32/'Data Sheet'!G$17</f>
        <v>0.25082929318703751</v>
      </c>
      <c r="I19" s="96">
        <f>'Data Sheet'!H32/'Data Sheet'!H$17</f>
        <v>0.24932311329748694</v>
      </c>
      <c r="J19" s="96">
        <f>'Data Sheet'!I32/'Data Sheet'!I$17</f>
        <v>0.24092109607131065</v>
      </c>
      <c r="K19" s="96">
        <f>'Data Sheet'!J32/'Data Sheet'!J$17</f>
        <v>0.25003231226573608</v>
      </c>
      <c r="L19" s="96">
        <f>'Data Sheet'!K32/'Data Sheet'!K$17</f>
        <v>0.25609543575038418</v>
      </c>
    </row>
    <row r="20" spans="2:13" x14ac:dyDescent="0.3">
      <c r="B20" s="123" t="str">
        <f>'Data Sheet'!A33</f>
        <v>EBIT</v>
      </c>
      <c r="C20" s="96">
        <f>'Data Sheet'!B33/'Data Sheet'!B$17</f>
        <v>0.18775243894861121</v>
      </c>
      <c r="D20" s="96">
        <f>'Data Sheet'!C33/'Data Sheet'!C$17</f>
        <v>0.19606778843254327</v>
      </c>
      <c r="E20" s="96">
        <f>'Data Sheet'!D33/'Data Sheet'!D$17</f>
        <v>0.20627373751582501</v>
      </c>
      <c r="F20" s="96">
        <f>'Data Sheet'!E33/'Data Sheet'!E$17</f>
        <v>0.21971508522004579</v>
      </c>
      <c r="G20" s="96">
        <f>'Data Sheet'!F33/'Data Sheet'!F$17</f>
        <v>0.233340874242767</v>
      </c>
      <c r="H20" s="96">
        <f>'Data Sheet'!G33/'Data Sheet'!G$17</f>
        <v>0.22799183465169687</v>
      </c>
      <c r="I20" s="96">
        <f>'Data Sheet'!H33/'Data Sheet'!H$17</f>
        <v>0.22852076421462075</v>
      </c>
      <c r="J20" s="96">
        <f>'Data Sheet'!I33/'Data Sheet'!I$17</f>
        <v>0.22215252558600199</v>
      </c>
      <c r="K20" s="96">
        <f>'Data Sheet'!J33/'Data Sheet'!J$17</f>
        <v>0.23038645469820343</v>
      </c>
      <c r="L20" s="96">
        <f>'Data Sheet'!K33/'Data Sheet'!K$17</f>
        <v>0.23462872894916115</v>
      </c>
    </row>
    <row r="21" spans="2:13" x14ac:dyDescent="0.3">
      <c r="B21" s="123"/>
    </row>
    <row r="22" spans="2:13" x14ac:dyDescent="0.3">
      <c r="B22" s="123"/>
    </row>
    <row r="23" spans="2:13" x14ac:dyDescent="0.3">
      <c r="B23" s="135" t="str">
        <f>"Common Size Balance Sheet for "&amp;'Data Sheet'!$B$1</f>
        <v>Common Size Balance Sheet for HINDUSTAN UNILEVER LTD</v>
      </c>
      <c r="C23" s="135"/>
      <c r="D23" s="135"/>
      <c r="E23" s="135"/>
      <c r="F23" s="135"/>
      <c r="G23" s="135"/>
      <c r="H23" s="135"/>
      <c r="I23" s="135"/>
      <c r="J23" s="135"/>
      <c r="K23" s="135"/>
      <c r="L23" s="135"/>
    </row>
    <row r="24" spans="2:13" x14ac:dyDescent="0.3">
      <c r="B24" s="31" t="s">
        <v>93</v>
      </c>
      <c r="C24" s="65">
        <f>C3</f>
        <v>42460</v>
      </c>
      <c r="D24" s="65">
        <f t="shared" ref="D24:L24" si="0">D3</f>
        <v>42825</v>
      </c>
      <c r="E24" s="65">
        <f t="shared" si="0"/>
        <v>43190</v>
      </c>
      <c r="F24" s="65">
        <f t="shared" si="0"/>
        <v>43555</v>
      </c>
      <c r="G24" s="65">
        <f t="shared" si="0"/>
        <v>43921</v>
      </c>
      <c r="H24" s="65">
        <f t="shared" si="0"/>
        <v>44286</v>
      </c>
      <c r="I24" s="65">
        <f t="shared" si="0"/>
        <v>44651</v>
      </c>
      <c r="J24" s="65">
        <f t="shared" si="0"/>
        <v>45016</v>
      </c>
      <c r="K24" s="65">
        <f t="shared" si="0"/>
        <v>45382</v>
      </c>
      <c r="L24" s="65">
        <f t="shared" si="0"/>
        <v>45747</v>
      </c>
    </row>
    <row r="25" spans="2:13" x14ac:dyDescent="0.3">
      <c r="B25" s="123" t="str">
        <f>'Data Sheet'!A57</f>
        <v>Equity Share Capital</v>
      </c>
      <c r="C25" s="96">
        <f>'Data Sheet'!B57/'Data Sheet'!B$61</f>
        <v>1.4601500709795174E-2</v>
      </c>
      <c r="D25" s="96">
        <f>'Data Sheet'!C57/'Data Sheet'!C$61</f>
        <v>1.3752705972239909E-2</v>
      </c>
      <c r="E25" s="96">
        <f>'Data Sheet'!D57/'Data Sheet'!D$61</f>
        <v>1.2092710782667115E-2</v>
      </c>
      <c r="F25" s="96">
        <f>'Data Sheet'!E57/'Data Sheet'!E$61</f>
        <v>1.1594825272424714E-2</v>
      </c>
      <c r="G25" s="96">
        <f>'Data Sheet'!F57/'Data Sheet'!F$61</f>
        <v>1.0718007244578972E-2</v>
      </c>
      <c r="H25" s="96">
        <f>'Data Sheet'!G57/'Data Sheet'!G$61</f>
        <v>3.4186790805935409E-3</v>
      </c>
      <c r="I25" s="96">
        <f>'Data Sheet'!H57/'Data Sheet'!H$61</f>
        <v>3.3330496695316712E-3</v>
      </c>
      <c r="J25" s="96">
        <f>'Data Sheet'!I57/'Data Sheet'!I$61</f>
        <v>3.2157860886462223E-3</v>
      </c>
      <c r="K25" s="96">
        <f>'Data Sheet'!J57/'Data Sheet'!J$61</f>
        <v>2.9940501216731007E-3</v>
      </c>
      <c r="L25" s="96">
        <f>'Data Sheet'!K57/'Data Sheet'!K$61</f>
        <v>2.9425390982056772E-3</v>
      </c>
      <c r="M25" s="96"/>
    </row>
    <row r="26" spans="2:13" x14ac:dyDescent="0.3">
      <c r="B26" s="123" t="str">
        <f>'Data Sheet'!A58</f>
        <v>Reserves</v>
      </c>
      <c r="C26" s="96">
        <f>'Data Sheet'!B58/'Data Sheet'!B$61</f>
        <v>0.42973027783411072</v>
      </c>
      <c r="D26" s="96">
        <f>'Data Sheet'!C58/'Data Sheet'!C$61</f>
        <v>0.41563733604991721</v>
      </c>
      <c r="E26" s="96">
        <f>'Data Sheet'!D58/'Data Sheet'!D$61</f>
        <v>0.3955324151830702</v>
      </c>
      <c r="F26" s="96">
        <f>'Data Sheet'!E58/'Data Sheet'!E$61</f>
        <v>0.41070374147834021</v>
      </c>
      <c r="G26" s="96">
        <f>'Data Sheet'!F58/'Data Sheet'!F$61</f>
        <v>0.39760829653153379</v>
      </c>
      <c r="H26" s="96">
        <f>'Data Sheet'!G58/'Data Sheet'!G$61</f>
        <v>0.69012219959266807</v>
      </c>
      <c r="I26" s="96">
        <f>'Data Sheet'!H58/'Data Sheet'!H$61</f>
        <v>0.69250843899809944</v>
      </c>
      <c r="J26" s="96">
        <f>'Data Sheet'!I58/'Data Sheet'!I$61</f>
        <v>0.68515401562735201</v>
      </c>
      <c r="K26" s="96">
        <f>'Data Sheet'!J58/'Data Sheet'!J$61</f>
        <v>0.64955598873727527</v>
      </c>
      <c r="L26" s="96">
        <f>'Data Sheet'!K58/'Data Sheet'!K$61</f>
        <v>0.6156417865594831</v>
      </c>
      <c r="M26" s="96"/>
    </row>
    <row r="27" spans="2:13" x14ac:dyDescent="0.3">
      <c r="B27" s="123" t="str">
        <f>'Data Sheet'!A59</f>
        <v>Borrowings</v>
      </c>
      <c r="C27" s="96">
        <f>'Data Sheet'!B59/'Data Sheet'!B$61</f>
        <v>1.1965118637193267E-2</v>
      </c>
      <c r="D27" s="96">
        <f>'Data Sheet'!C59/'Data Sheet'!C$61</f>
        <v>1.7636572010696547E-2</v>
      </c>
      <c r="E27" s="96">
        <f>'Data Sheet'!D59/'Data Sheet'!D$61</f>
        <v>0</v>
      </c>
      <c r="F27" s="96">
        <f>'Data Sheet'!E59/'Data Sheet'!E$61</f>
        <v>5.3142949165279939E-3</v>
      </c>
      <c r="G27" s="96">
        <f>'Data Sheet'!F59/'Data Sheet'!F$61</f>
        <v>0</v>
      </c>
      <c r="H27" s="96">
        <f>'Data Sheet'!G59/'Data Sheet'!G$61</f>
        <v>0</v>
      </c>
      <c r="I27" s="96">
        <f>'Data Sheet'!H59/'Data Sheet'!H$61</f>
        <v>1.4793067256687375E-2</v>
      </c>
      <c r="J27" s="96">
        <f>'Data Sheet'!I59/'Data Sheet'!I$61</f>
        <v>1.668103507259466E-2</v>
      </c>
      <c r="K27" s="96">
        <f>'Data Sheet'!J59/'Data Sheet'!J$61</f>
        <v>1.8907108002395239E-2</v>
      </c>
      <c r="L27" s="96">
        <f>'Data Sheet'!K59/'Data Sheet'!K$61</f>
        <v>2.0635338016353005E-2</v>
      </c>
      <c r="M27" s="96"/>
    </row>
    <row r="28" spans="2:13" x14ac:dyDescent="0.3">
      <c r="B28" s="123" t="str">
        <f>'Data Sheet'!A60</f>
        <v>Other Liabilities</v>
      </c>
      <c r="C28" s="96">
        <f>'Data Sheet'!B60/'Data Sheet'!B$61</f>
        <v>0.54370310281890089</v>
      </c>
      <c r="D28" s="96">
        <f>'Data Sheet'!C60/'Data Sheet'!C$61</f>
        <v>0.55297338596714629</v>
      </c>
      <c r="E28" s="96">
        <f>'Data Sheet'!D60/'Data Sheet'!D$61</f>
        <v>0.5923748740342627</v>
      </c>
      <c r="F28" s="96">
        <f>'Data Sheet'!E60/'Data Sheet'!E$61</f>
        <v>0.57238713833270705</v>
      </c>
      <c r="G28" s="96">
        <f>'Data Sheet'!F60/'Data Sheet'!F$61</f>
        <v>0.59167369622388721</v>
      </c>
      <c r="H28" s="96">
        <f>'Data Sheet'!G60/'Data Sheet'!G$61</f>
        <v>0.30645912132673842</v>
      </c>
      <c r="I28" s="96">
        <f>'Data Sheet'!H60/'Data Sheet'!H$61</f>
        <v>0.28936544407568149</v>
      </c>
      <c r="J28" s="96">
        <f>'Data Sheet'!I60/'Data Sheet'!I$61</f>
        <v>0.29494916321140713</v>
      </c>
      <c r="K28" s="96">
        <f>'Data Sheet'!J60/'Data Sheet'!J$61</f>
        <v>0.32854285313865639</v>
      </c>
      <c r="L28" s="96">
        <f>'Data Sheet'!K60/'Data Sheet'!K$61</f>
        <v>0.36078033632595818</v>
      </c>
      <c r="M28" s="96"/>
    </row>
    <row r="29" spans="2:13" x14ac:dyDescent="0.3">
      <c r="B29" s="123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</row>
    <row r="30" spans="2:13" x14ac:dyDescent="0.3">
      <c r="B30" s="126" t="s">
        <v>111</v>
      </c>
      <c r="C30" s="127">
        <f>'Data Sheet'!B61/'Data Sheet'!B$61</f>
        <v>1</v>
      </c>
      <c r="D30" s="127">
        <f>'Data Sheet'!C61/'Data Sheet'!C$61</f>
        <v>1</v>
      </c>
      <c r="E30" s="127">
        <f>'Data Sheet'!D61/'Data Sheet'!D$61</f>
        <v>1</v>
      </c>
      <c r="F30" s="127">
        <f>'Data Sheet'!E61/'Data Sheet'!E$61</f>
        <v>1</v>
      </c>
      <c r="G30" s="127">
        <f>'Data Sheet'!F61/'Data Sheet'!F$61</f>
        <v>1</v>
      </c>
      <c r="H30" s="127">
        <f>'Data Sheet'!G61/'Data Sheet'!G$61</f>
        <v>1</v>
      </c>
      <c r="I30" s="127">
        <f>'Data Sheet'!H61/'Data Sheet'!H$61</f>
        <v>1</v>
      </c>
      <c r="J30" s="127">
        <f>'Data Sheet'!I61/'Data Sheet'!I$61</f>
        <v>1</v>
      </c>
      <c r="K30" s="127">
        <f>'Data Sheet'!J61/'Data Sheet'!J$61</f>
        <v>1</v>
      </c>
      <c r="L30" s="127">
        <f>'Data Sheet'!K61/'Data Sheet'!K$61</f>
        <v>1</v>
      </c>
      <c r="M30" s="96"/>
    </row>
    <row r="31" spans="2:13" x14ac:dyDescent="0.3">
      <c r="B31" s="123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</row>
    <row r="32" spans="2:13" x14ac:dyDescent="0.3">
      <c r="B32" s="123" t="str">
        <f>'Data Sheet'!A62</f>
        <v>Net Block</v>
      </c>
      <c r="C32" s="96">
        <f>'Data Sheet'!B62/'Data Sheet'!B$66</f>
        <v>0.22023930237274386</v>
      </c>
      <c r="D32" s="96">
        <f>'Data Sheet'!C62/'Data Sheet'!C$66</f>
        <v>0.2813574430154081</v>
      </c>
      <c r="E32" s="96">
        <f>'Data Sheet'!D62/'Data Sheet'!D$66</f>
        <v>0.25349904825887359</v>
      </c>
      <c r="F32" s="96">
        <f>'Data Sheet'!E62/'Data Sheet'!E$66</f>
        <v>0.25310000536797467</v>
      </c>
      <c r="G32" s="96">
        <f>'Data Sheet'!F62/'Data Sheet'!F$66</f>
        <v>0.27187019302337123</v>
      </c>
      <c r="H32" s="96">
        <f>'Data Sheet'!G62/'Data Sheet'!G$66</f>
        <v>0.74837067209775965</v>
      </c>
      <c r="I32" s="96">
        <f>'Data Sheet'!H62/'Data Sheet'!H$66</f>
        <v>0.73005134314810083</v>
      </c>
      <c r="J32" s="96">
        <f>'Data Sheet'!I62/'Data Sheet'!I$66</f>
        <v>0.720856083309386</v>
      </c>
      <c r="K32" s="96">
        <f>'Data Sheet'!J62/'Data Sheet'!J$66</f>
        <v>0.68473289250723035</v>
      </c>
      <c r="L32" s="96">
        <f>'Data Sheet'!K62/'Data Sheet'!K$66</f>
        <v>0.68035260383406582</v>
      </c>
      <c r="M32" s="96"/>
    </row>
    <row r="33" spans="2:13" x14ac:dyDescent="0.3">
      <c r="B33" s="123" t="str">
        <f>'Data Sheet'!A63</f>
        <v>Capital Work in Progress</v>
      </c>
      <c r="C33" s="96">
        <f>'Data Sheet'!B63/'Data Sheet'!B$66</f>
        <v>2.7580612451835327E-2</v>
      </c>
      <c r="D33" s="96">
        <f>'Data Sheet'!C63/'Data Sheet'!C$66</f>
        <v>1.458041512797657E-2</v>
      </c>
      <c r="E33" s="96">
        <f>'Data Sheet'!D63/'Data Sheet'!D$66</f>
        <v>2.5808979957451572E-2</v>
      </c>
      <c r="F33" s="96">
        <f>'Data Sheet'!E63/'Data Sheet'!E$66</f>
        <v>2.1793977132427936E-2</v>
      </c>
      <c r="G33" s="96">
        <f>'Data Sheet'!F63/'Data Sheet'!F$66</f>
        <v>2.9623381134322432E-2</v>
      </c>
      <c r="H33" s="96">
        <f>'Data Sheet'!G63/'Data Sheet'!G$66</f>
        <v>1.0837940064009311E-2</v>
      </c>
      <c r="I33" s="96">
        <f>'Data Sheet'!H63/'Data Sheet'!H$66</f>
        <v>1.8622528579128019E-2</v>
      </c>
      <c r="J33" s="96">
        <f>'Data Sheet'!I63/'Data Sheet'!I$66</f>
        <v>1.5490510009989463E-2</v>
      </c>
      <c r="K33" s="96">
        <f>'Data Sheet'!J63/'Data Sheet'!J$66</f>
        <v>1.305915478602097E-2</v>
      </c>
      <c r="L33" s="96">
        <f>'Data Sheet'!K63/'Data Sheet'!K$66</f>
        <v>1.263413595782778E-2</v>
      </c>
      <c r="M33" s="96"/>
    </row>
    <row r="34" spans="2:13" x14ac:dyDescent="0.3">
      <c r="B34" s="123" t="str">
        <f>'Data Sheet'!A64</f>
        <v>Investments</v>
      </c>
      <c r="C34" s="96">
        <f>'Data Sheet'!B64/'Data Sheet'!B$66</f>
        <v>0.17521800851754207</v>
      </c>
      <c r="D34" s="96">
        <f>'Data Sheet'!C64/'Data Sheet'!C$66</f>
        <v>0.24156373360499173</v>
      </c>
      <c r="E34" s="96">
        <f>'Data Sheet'!D64/'Data Sheet'!D$66</f>
        <v>0.16084425036390101</v>
      </c>
      <c r="F34" s="96">
        <f>'Data Sheet'!E64/'Data Sheet'!E$66</f>
        <v>0.14579419185141446</v>
      </c>
      <c r="G34" s="96">
        <f>'Data Sheet'!F64/'Data Sheet'!F$66</f>
        <v>6.2273606907160224E-2</v>
      </c>
      <c r="H34" s="96">
        <f>'Data Sheet'!G64/'Data Sheet'!G$66</f>
        <v>3.9409368635437883E-2</v>
      </c>
      <c r="I34" s="96">
        <f>'Data Sheet'!H64/'Data Sheet'!H$66</f>
        <v>4.9939012282642609E-2</v>
      </c>
      <c r="J34" s="96">
        <f>'Data Sheet'!I64/'Data Sheet'!I$66</f>
        <v>3.9437853223312398E-2</v>
      </c>
      <c r="K34" s="96">
        <f>'Data Sheet'!J64/'Data Sheet'!J$66</f>
        <v>5.8925454522289748E-2</v>
      </c>
      <c r="L34" s="96">
        <f>'Data Sheet'!K64/'Data Sheet'!K$66</f>
        <v>4.7706697719845238E-2</v>
      </c>
      <c r="M34" s="96"/>
    </row>
    <row r="35" spans="2:13" x14ac:dyDescent="0.3">
      <c r="B35" s="123" t="str">
        <f>'Data Sheet'!A65</f>
        <v>Other Assets</v>
      </c>
      <c r="C35" s="96">
        <f>'Data Sheet'!B74/'Data Sheet'!B$66</f>
        <v>0.10383289393632124</v>
      </c>
      <c r="D35" s="96">
        <f>'Data Sheet'!C74/'Data Sheet'!C$66</f>
        <v>0.1152425824525659</v>
      </c>
      <c r="E35" s="96">
        <f>'Data Sheet'!D74/'Data Sheet'!D$66</f>
        <v>0.15071100660620312</v>
      </c>
      <c r="F35" s="96">
        <f>'Data Sheet'!E74/'Data Sheet'!E$66</f>
        <v>0.14198292984057115</v>
      </c>
      <c r="G35" s="96">
        <f>'Data Sheet'!F74/'Data Sheet'!F$66</f>
        <v>0.18821019203096312</v>
      </c>
      <c r="H35" s="96">
        <f>'Data Sheet'!G74/'Data Sheet'!G$66</f>
        <v>5.8699447192318885E-2</v>
      </c>
      <c r="I35" s="96">
        <f>'Data Sheet'!H74/'Data Sheet'!H$66</f>
        <v>5.7030607324199359E-2</v>
      </c>
      <c r="J35" s="96">
        <f>'Data Sheet'!I74/'Data Sheet'!I$66</f>
        <v>5.9895726425551132E-2</v>
      </c>
      <c r="K35" s="96">
        <f>'Data Sheet'!J74/'Data Sheet'!J$66</f>
        <v>5.7549465530201682E-2</v>
      </c>
      <c r="L35" s="96">
        <f>'Data Sheet'!K74/'Data Sheet'!K$66</f>
        <v>6.1618020860723988E-2</v>
      </c>
      <c r="M35" s="96"/>
    </row>
    <row r="36" spans="2:13" x14ac:dyDescent="0.3">
      <c r="B36" s="123" t="str">
        <f>'Data Sheet'!A67</f>
        <v>Receivables</v>
      </c>
      <c r="C36" s="96">
        <f>'Data Sheet'!B67/'Data Sheet'!B$66</f>
        <v>8.5445818968431009E-2</v>
      </c>
      <c r="D36" s="96">
        <f>'Data Sheet'!C67/'Data Sheet'!C$66</f>
        <v>6.9081879536482871E-2</v>
      </c>
      <c r="E36" s="96">
        <f>'Data Sheet'!D67/'Data Sheet'!D$66</f>
        <v>7.3340051505990364E-2</v>
      </c>
      <c r="F36" s="96">
        <f>'Data Sheet'!E67/'Data Sheet'!E$66</f>
        <v>9.748241988297815E-2</v>
      </c>
      <c r="G36" s="96">
        <f>'Data Sheet'!F67/'Data Sheet'!F$66</f>
        <v>5.7013844092690912E-2</v>
      </c>
      <c r="H36" s="96">
        <f>'Data Sheet'!G67/'Data Sheet'!G$66</f>
        <v>2.5574629036950829E-2</v>
      </c>
      <c r="I36" s="96">
        <f>'Data Sheet'!H67/'Data Sheet'!H$66</f>
        <v>3.1713613025841775E-2</v>
      </c>
      <c r="J36" s="96">
        <f>'Data Sheet'!I67/'Data Sheet'!I$66</f>
        <v>4.2133639859326465E-2</v>
      </c>
      <c r="K36" s="96">
        <f>'Data Sheet'!J67/'Data Sheet'!J$66</f>
        <v>3.8183694530443756E-2</v>
      </c>
      <c r="L36" s="96">
        <f>'Data Sheet'!K67/'Data Sheet'!K$66</f>
        <v>4.781939070658503E-2</v>
      </c>
      <c r="M36" s="96"/>
    </row>
    <row r="37" spans="2:13" x14ac:dyDescent="0.3">
      <c r="B37" s="123" t="str">
        <f>'Data Sheet'!A68</f>
        <v>Inventory</v>
      </c>
      <c r="C37" s="96">
        <f>'Data Sheet'!B68/'Data Sheet'!B$66</f>
        <v>0.18427634692084094</v>
      </c>
      <c r="D37" s="96">
        <f>'Data Sheet'!C68/'Data Sheet'!C$66</f>
        <v>0.16178530497898891</v>
      </c>
      <c r="E37" s="96">
        <f>'Data Sheet'!D68/'Data Sheet'!D$66</f>
        <v>0.14068973239278917</v>
      </c>
      <c r="F37" s="96">
        <f>'Data Sheet'!E68/'Data Sheet'!E$66</f>
        <v>0.13817166782972784</v>
      </c>
      <c r="G37" s="96">
        <f>'Data Sheet'!F68/'Data Sheet'!F$66</f>
        <v>0.13729965761921303</v>
      </c>
      <c r="H37" s="96">
        <f>'Data Sheet'!G68/'Data Sheet'!G$66</f>
        <v>5.2065755018911843E-2</v>
      </c>
      <c r="I37" s="96">
        <f>'Data Sheet'!H68/'Data Sheet'!H$66</f>
        <v>5.8094346580432873E-2</v>
      </c>
      <c r="J37" s="96">
        <f>'Data Sheet'!I68/'Data Sheet'!I$66</f>
        <v>5.8171517714191878E-2</v>
      </c>
      <c r="K37" s="96">
        <f>'Data Sheet'!J68/'Data Sheet'!J$66</f>
        <v>5.1242849316464729E-2</v>
      </c>
      <c r="L37" s="96">
        <f>'Data Sheet'!K68/'Data Sheet'!K$66</f>
        <v>5.5282170717353467E-2</v>
      </c>
      <c r="M37" s="96"/>
    </row>
    <row r="38" spans="2:13" x14ac:dyDescent="0.3">
      <c r="B38" s="123" t="str">
        <f>'Data Sheet'!A69</f>
        <v>Cash &amp; Bank</v>
      </c>
      <c r="C38" s="96">
        <f>'Data Sheet'!B69/'Data Sheet'!B$66</f>
        <v>0.20340701683228554</v>
      </c>
      <c r="D38" s="96">
        <f>'Data Sheet'!C69/'Data Sheet'!C$66</f>
        <v>0.11638864128358589</v>
      </c>
      <c r="E38" s="96">
        <f>'Data Sheet'!D69/'Data Sheet'!D$66</f>
        <v>0.19510693091479117</v>
      </c>
      <c r="F38" s="96">
        <f>'Data Sheet'!E69/'Data Sheet'!E$66</f>
        <v>0.20167480809490579</v>
      </c>
      <c r="G38" s="96">
        <f>'Data Sheet'!F69/'Data Sheet'!F$66</f>
        <v>0.25370912519227906</v>
      </c>
      <c r="H38" s="96">
        <f>'Data Sheet'!G69/'Data Sheet'!G$66</f>
        <v>6.5042187954611586E-2</v>
      </c>
      <c r="I38" s="96">
        <f>'Data Sheet'!H69/'Data Sheet'!H$66</f>
        <v>5.4548549059654498E-2</v>
      </c>
      <c r="J38" s="96">
        <f>'Data Sheet'!I69/'Data Sheet'!I$66</f>
        <v>6.4014669458242676E-2</v>
      </c>
      <c r="K38" s="96">
        <f>'Data Sheet'!J69/'Data Sheet'!J$66</f>
        <v>9.6306488807348795E-2</v>
      </c>
      <c r="L38" s="96">
        <f>'Data Sheet'!K69/'Data Sheet'!K$66</f>
        <v>9.4586980203598667E-2</v>
      </c>
      <c r="M38" s="96"/>
    </row>
    <row r="39" spans="2:13" x14ac:dyDescent="0.3">
      <c r="B39" s="123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</row>
    <row r="40" spans="2:13" x14ac:dyDescent="0.3">
      <c r="B40" s="126" t="s">
        <v>114</v>
      </c>
      <c r="C40" s="127">
        <f>'Data Sheet'!B66/'Data Sheet'!B$66</f>
        <v>1</v>
      </c>
      <c r="D40" s="127">
        <f>'Data Sheet'!C66/'Data Sheet'!C$66</f>
        <v>1</v>
      </c>
      <c r="E40" s="127">
        <f>'Data Sheet'!D66/'Data Sheet'!D$66</f>
        <v>1</v>
      </c>
      <c r="F40" s="127">
        <f>'Data Sheet'!E66/'Data Sheet'!E$66</f>
        <v>1</v>
      </c>
      <c r="G40" s="127">
        <f>'Data Sheet'!F66/'Data Sheet'!F$66</f>
        <v>1</v>
      </c>
      <c r="H40" s="127">
        <f>'Data Sheet'!G66/'Data Sheet'!G$66</f>
        <v>1</v>
      </c>
      <c r="I40" s="127">
        <f>'Data Sheet'!H66/'Data Sheet'!H$66</f>
        <v>1</v>
      </c>
      <c r="J40" s="127">
        <f>'Data Sheet'!I66/'Data Sheet'!I$66</f>
        <v>1</v>
      </c>
      <c r="K40" s="127">
        <f>'Data Sheet'!J66/'Data Sheet'!J$66</f>
        <v>1</v>
      </c>
      <c r="L40" s="127">
        <f>'Data Sheet'!K66/'Data Sheet'!K$66</f>
        <v>1</v>
      </c>
      <c r="M40" s="96"/>
    </row>
    <row r="41" spans="2:13" x14ac:dyDescent="0.3">
      <c r="B41" s="123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</row>
    <row r="42" spans="2:13" x14ac:dyDescent="0.3">
      <c r="B42" s="123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</row>
    <row r="43" spans="2:13" x14ac:dyDescent="0.3">
      <c r="B43" s="123"/>
    </row>
    <row r="44" spans="2:13" x14ac:dyDescent="0.3">
      <c r="B44" s="123"/>
    </row>
  </sheetData>
  <mergeCells count="2">
    <mergeCell ref="B2:L2"/>
    <mergeCell ref="B23:L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B85AB-AE77-4179-90ED-A4658E57D35C}">
  <dimension ref="B2:F111"/>
  <sheetViews>
    <sheetView showGridLines="0" workbookViewId="0">
      <selection activeCell="E25" sqref="E25"/>
    </sheetView>
  </sheetViews>
  <sheetFormatPr defaultRowHeight="14.4" x14ac:dyDescent="0.3"/>
  <cols>
    <col min="1" max="1" width="1.88671875" customWidth="1"/>
    <col min="2" max="4" width="14.6640625" customWidth="1"/>
  </cols>
  <sheetData>
    <row r="2" spans="2:6" x14ac:dyDescent="0.3">
      <c r="B2" s="138" t="str">
        <f>"Trend Analysis for "&amp;'Data Sheet'!$B$1</f>
        <v>Trend Analysis for HINDUSTAN UNILEVER LTD</v>
      </c>
      <c r="C2" s="138"/>
      <c r="D2" s="138"/>
    </row>
    <row r="3" spans="2:6" x14ac:dyDescent="0.3">
      <c r="B3" s="131" t="s">
        <v>93</v>
      </c>
      <c r="C3" s="132" t="s">
        <v>231</v>
      </c>
      <c r="D3" s="132" t="s">
        <v>249</v>
      </c>
      <c r="E3" s="25"/>
      <c r="F3" s="25"/>
    </row>
    <row r="4" spans="2:6" x14ac:dyDescent="0.3">
      <c r="B4" s="128" cm="1">
        <f t="array" ref="B4:B18">TRANSPOSE('Historical FS'!C3:Q3)</f>
        <v>42460</v>
      </c>
      <c r="C4" s="63" cm="1">
        <f t="array" ref="C4:C18">TRANSPOSE('Historical FS'!C6:Q6)</f>
        <v>32186</v>
      </c>
      <c r="D4" s="133">
        <v>0</v>
      </c>
      <c r="E4" s="25"/>
      <c r="F4" s="25"/>
    </row>
    <row r="5" spans="2:6" x14ac:dyDescent="0.3">
      <c r="B5" s="128">
        <v>42825</v>
      </c>
      <c r="C5" s="63">
        <v>33162</v>
      </c>
      <c r="D5" s="130">
        <f>C5/C4-1</f>
        <v>3.03237432424035E-2</v>
      </c>
      <c r="E5" s="25"/>
      <c r="F5" s="25"/>
    </row>
    <row r="6" spans="2:6" x14ac:dyDescent="0.3">
      <c r="B6" s="128">
        <v>43190</v>
      </c>
      <c r="C6" s="63">
        <v>35545</v>
      </c>
      <c r="D6" s="130">
        <f t="shared" ref="D6:D18" si="0">C6/C5-1</f>
        <v>7.1859357095470644E-2</v>
      </c>
      <c r="E6" s="25"/>
      <c r="F6" s="25"/>
    </row>
    <row r="7" spans="2:6" x14ac:dyDescent="0.3">
      <c r="B7" s="128">
        <v>43555</v>
      </c>
      <c r="C7" s="63">
        <v>39310</v>
      </c>
      <c r="D7" s="130">
        <f t="shared" si="0"/>
        <v>0.1059220706147137</v>
      </c>
      <c r="E7" s="25"/>
      <c r="F7" s="25"/>
    </row>
    <row r="8" spans="2:6" x14ac:dyDescent="0.3">
      <c r="B8" s="128">
        <v>43921</v>
      </c>
      <c r="C8" s="63">
        <v>39783</v>
      </c>
      <c r="D8" s="130">
        <f t="shared" si="0"/>
        <v>1.2032561689137689E-2</v>
      </c>
      <c r="E8" s="25"/>
      <c r="F8" s="25"/>
    </row>
    <row r="9" spans="2:6" x14ac:dyDescent="0.3">
      <c r="B9" s="128">
        <v>44286</v>
      </c>
      <c r="C9" s="63">
        <v>47028</v>
      </c>
      <c r="D9" s="130">
        <f t="shared" si="0"/>
        <v>0.18211296282331646</v>
      </c>
      <c r="E9" s="25"/>
      <c r="F9" s="25"/>
    </row>
    <row r="10" spans="2:6" x14ac:dyDescent="0.3">
      <c r="B10" s="128">
        <v>44651</v>
      </c>
      <c r="C10" s="63">
        <v>52446</v>
      </c>
      <c r="D10" s="130">
        <f t="shared" si="0"/>
        <v>0.11520796121459553</v>
      </c>
      <c r="E10" s="25"/>
      <c r="F10" s="25"/>
    </row>
    <row r="11" spans="2:6" x14ac:dyDescent="0.3">
      <c r="B11" s="128">
        <v>45016</v>
      </c>
      <c r="C11" s="63">
        <v>60580</v>
      </c>
      <c r="D11" s="130">
        <f t="shared" si="0"/>
        <v>0.15509285741524614</v>
      </c>
      <c r="E11" s="25"/>
      <c r="F11" s="25"/>
    </row>
    <row r="12" spans="2:6" x14ac:dyDescent="0.3">
      <c r="B12" s="128">
        <v>45382</v>
      </c>
      <c r="C12" s="63">
        <v>61896</v>
      </c>
      <c r="D12" s="130">
        <f t="shared" si="0"/>
        <v>2.1723341036645749E-2</v>
      </c>
      <c r="E12" s="25"/>
      <c r="F12" s="25"/>
    </row>
    <row r="13" spans="2:6" x14ac:dyDescent="0.3">
      <c r="B13" s="128">
        <v>45747</v>
      </c>
      <c r="C13" s="63">
        <v>63121</v>
      </c>
      <c r="D13" s="130">
        <f t="shared" si="0"/>
        <v>1.9791262763344974E-2</v>
      </c>
      <c r="E13" s="25"/>
      <c r="F13" s="25"/>
    </row>
    <row r="14" spans="2:6" x14ac:dyDescent="0.3">
      <c r="B14" s="129">
        <v>46112</v>
      </c>
      <c r="C14" s="63">
        <v>68216.751150427619</v>
      </c>
      <c r="D14" s="130">
        <f t="shared" si="0"/>
        <v>8.0729886256992511E-2</v>
      </c>
      <c r="E14" s="25"/>
      <c r="F14" s="25"/>
    </row>
    <row r="15" spans="2:6" x14ac:dyDescent="0.3">
      <c r="B15" s="129">
        <v>46477</v>
      </c>
      <c r="C15" s="63">
        <v>72161.856775909837</v>
      </c>
      <c r="D15" s="130">
        <f t="shared" si="0"/>
        <v>5.7831918978121566E-2</v>
      </c>
      <c r="E15" s="25"/>
      <c r="F15" s="25"/>
    </row>
    <row r="16" spans="2:6" x14ac:dyDescent="0.3">
      <c r="B16" s="129">
        <v>46842</v>
      </c>
      <c r="C16" s="63">
        <v>76106.962401392055</v>
      </c>
      <c r="D16" s="130">
        <f t="shared" si="0"/>
        <v>5.4670234411141605E-2</v>
      </c>
      <c r="E16" s="25"/>
      <c r="F16" s="25"/>
    </row>
    <row r="17" spans="2:6" x14ac:dyDescent="0.3">
      <c r="B17" s="129">
        <v>47207</v>
      </c>
      <c r="C17" s="63">
        <v>80052.068026874214</v>
      </c>
      <c r="D17" s="130">
        <f t="shared" si="0"/>
        <v>5.1836330093894212E-2</v>
      </c>
      <c r="E17" s="25"/>
      <c r="F17" s="25"/>
    </row>
    <row r="18" spans="2:6" x14ac:dyDescent="0.3">
      <c r="B18" s="129">
        <v>47572</v>
      </c>
      <c r="C18" s="63">
        <v>83997.173652356432</v>
      </c>
      <c r="D18" s="130">
        <f t="shared" si="0"/>
        <v>4.9281745278058287E-2</v>
      </c>
      <c r="E18" s="25"/>
      <c r="F18" s="25"/>
    </row>
    <row r="19" spans="2:6" x14ac:dyDescent="0.3">
      <c r="B19" s="20"/>
      <c r="C19" s="25"/>
      <c r="D19" s="25"/>
      <c r="E19" s="25"/>
      <c r="F19" s="25"/>
    </row>
    <row r="20" spans="2:6" x14ac:dyDescent="0.3">
      <c r="B20" s="20" t="s">
        <v>250</v>
      </c>
      <c r="C20" s="25"/>
      <c r="D20" s="25"/>
      <c r="E20" s="25"/>
      <c r="F20" s="25"/>
    </row>
    <row r="21" spans="2:6" x14ac:dyDescent="0.3">
      <c r="B21" s="20"/>
      <c r="C21" s="25"/>
      <c r="D21" s="25"/>
      <c r="E21" s="25"/>
      <c r="F21" s="25"/>
    </row>
    <row r="22" spans="2:6" x14ac:dyDescent="0.3">
      <c r="B22" s="20"/>
      <c r="C22" s="25"/>
      <c r="D22" s="25"/>
      <c r="E22" s="25"/>
      <c r="F22" s="25"/>
    </row>
    <row r="23" spans="2:6" x14ac:dyDescent="0.3">
      <c r="B23" s="20"/>
      <c r="C23" s="25"/>
      <c r="D23" s="25"/>
      <c r="E23" s="25"/>
      <c r="F23" s="25"/>
    </row>
    <row r="24" spans="2:6" x14ac:dyDescent="0.3">
      <c r="B24" s="20"/>
      <c r="C24" s="25"/>
      <c r="D24" s="25"/>
      <c r="E24" s="25"/>
      <c r="F24" s="25"/>
    </row>
    <row r="25" spans="2:6" x14ac:dyDescent="0.3">
      <c r="B25" s="20"/>
      <c r="C25" s="25"/>
      <c r="D25" s="25"/>
      <c r="E25" s="25"/>
      <c r="F25" s="25"/>
    </row>
    <row r="26" spans="2:6" x14ac:dyDescent="0.3">
      <c r="B26" s="20"/>
      <c r="C26" s="25"/>
      <c r="D26" s="25"/>
      <c r="E26" s="25"/>
      <c r="F26" s="25"/>
    </row>
    <row r="27" spans="2:6" x14ac:dyDescent="0.3">
      <c r="B27" s="20"/>
      <c r="C27" s="25"/>
      <c r="D27" s="25"/>
      <c r="E27" s="25"/>
      <c r="F27" s="25"/>
    </row>
    <row r="28" spans="2:6" x14ac:dyDescent="0.3">
      <c r="C28" s="25"/>
      <c r="D28" s="25"/>
      <c r="E28" s="25"/>
      <c r="F28" s="25"/>
    </row>
    <row r="29" spans="2:6" x14ac:dyDescent="0.3">
      <c r="C29" s="25"/>
      <c r="D29" s="25"/>
      <c r="E29" s="25"/>
      <c r="F29" s="25"/>
    </row>
    <row r="30" spans="2:6" x14ac:dyDescent="0.3">
      <c r="C30" s="25"/>
      <c r="D30" s="25"/>
      <c r="E30" s="25"/>
      <c r="F30" s="25"/>
    </row>
    <row r="31" spans="2:6" x14ac:dyDescent="0.3">
      <c r="C31" s="25"/>
      <c r="D31" s="25"/>
      <c r="E31" s="25"/>
      <c r="F31" s="25"/>
    </row>
    <row r="32" spans="2:6" x14ac:dyDescent="0.3">
      <c r="C32" s="25"/>
      <c r="D32" s="25"/>
      <c r="E32" s="25"/>
      <c r="F32" s="25"/>
    </row>
    <row r="33" spans="3:6" x14ac:dyDescent="0.3">
      <c r="C33" s="25"/>
      <c r="D33" s="25"/>
      <c r="E33" s="25"/>
      <c r="F33" s="25"/>
    </row>
    <row r="34" spans="3:6" x14ac:dyDescent="0.3">
      <c r="C34" s="25"/>
      <c r="D34" s="25"/>
      <c r="E34" s="25"/>
      <c r="F34" s="25"/>
    </row>
    <row r="35" spans="3:6" x14ac:dyDescent="0.3">
      <c r="C35" s="25"/>
      <c r="D35" s="25"/>
      <c r="E35" s="25"/>
      <c r="F35" s="25"/>
    </row>
    <row r="36" spans="3:6" x14ac:dyDescent="0.3">
      <c r="C36" s="25"/>
      <c r="D36" s="25"/>
      <c r="E36" s="25"/>
      <c r="F36" s="25"/>
    </row>
    <row r="37" spans="3:6" x14ac:dyDescent="0.3">
      <c r="C37" s="25"/>
      <c r="D37" s="25"/>
      <c r="E37" s="25"/>
      <c r="F37" s="25"/>
    </row>
    <row r="38" spans="3:6" x14ac:dyDescent="0.3">
      <c r="C38" s="25"/>
      <c r="D38" s="25"/>
      <c r="E38" s="25"/>
      <c r="F38" s="25"/>
    </row>
    <row r="39" spans="3:6" x14ac:dyDescent="0.3">
      <c r="C39" s="25"/>
      <c r="D39" s="25"/>
      <c r="E39" s="25"/>
      <c r="F39" s="25"/>
    </row>
    <row r="40" spans="3:6" x14ac:dyDescent="0.3">
      <c r="C40" s="25"/>
      <c r="D40" s="25"/>
      <c r="E40" s="25"/>
      <c r="F40" s="25"/>
    </row>
    <row r="41" spans="3:6" x14ac:dyDescent="0.3">
      <c r="C41" s="25"/>
      <c r="D41" s="25"/>
      <c r="E41" s="25"/>
      <c r="F41" s="25"/>
    </row>
    <row r="42" spans="3:6" x14ac:dyDescent="0.3">
      <c r="C42" s="25"/>
      <c r="D42" s="25"/>
      <c r="E42" s="25"/>
      <c r="F42" s="25"/>
    </row>
    <row r="43" spans="3:6" x14ac:dyDescent="0.3">
      <c r="C43" s="25"/>
      <c r="D43" s="25"/>
      <c r="E43" s="25"/>
      <c r="F43" s="25"/>
    </row>
    <row r="44" spans="3:6" x14ac:dyDescent="0.3">
      <c r="C44" s="25"/>
      <c r="D44" s="25"/>
      <c r="E44" s="25"/>
      <c r="F44" s="25"/>
    </row>
    <row r="45" spans="3:6" x14ac:dyDescent="0.3">
      <c r="C45" s="25"/>
      <c r="D45" s="25"/>
      <c r="E45" s="25"/>
      <c r="F45" s="25"/>
    </row>
    <row r="46" spans="3:6" x14ac:dyDescent="0.3">
      <c r="C46" s="25"/>
      <c r="D46" s="25"/>
      <c r="E46" s="25"/>
      <c r="F46" s="25"/>
    </row>
    <row r="47" spans="3:6" x14ac:dyDescent="0.3">
      <c r="C47" s="25"/>
      <c r="D47" s="25"/>
      <c r="E47" s="25"/>
      <c r="F47" s="25"/>
    </row>
    <row r="48" spans="3:6" x14ac:dyDescent="0.3">
      <c r="C48" s="25"/>
      <c r="D48" s="25"/>
      <c r="E48" s="25"/>
      <c r="F48" s="25"/>
    </row>
    <row r="49" spans="3:6" x14ac:dyDescent="0.3">
      <c r="C49" s="25"/>
      <c r="D49" s="25"/>
      <c r="E49" s="25"/>
      <c r="F49" s="25"/>
    </row>
    <row r="50" spans="3:6" x14ac:dyDescent="0.3">
      <c r="C50" s="25"/>
      <c r="D50" s="25"/>
      <c r="E50" s="25"/>
      <c r="F50" s="25"/>
    </row>
    <row r="51" spans="3:6" x14ac:dyDescent="0.3">
      <c r="C51" s="25"/>
      <c r="D51" s="25"/>
      <c r="E51" s="25"/>
      <c r="F51" s="25"/>
    </row>
    <row r="52" spans="3:6" x14ac:dyDescent="0.3">
      <c r="C52" s="25"/>
      <c r="D52" s="25"/>
      <c r="E52" s="25"/>
      <c r="F52" s="25"/>
    </row>
    <row r="53" spans="3:6" x14ac:dyDescent="0.3">
      <c r="C53" s="25"/>
      <c r="D53" s="25"/>
      <c r="E53" s="25"/>
      <c r="F53" s="25"/>
    </row>
    <row r="54" spans="3:6" x14ac:dyDescent="0.3">
      <c r="C54" s="25"/>
      <c r="D54" s="25"/>
      <c r="E54" s="25"/>
      <c r="F54" s="25"/>
    </row>
    <row r="55" spans="3:6" x14ac:dyDescent="0.3">
      <c r="C55" s="25"/>
      <c r="D55" s="25"/>
      <c r="E55" s="25"/>
      <c r="F55" s="25"/>
    </row>
    <row r="56" spans="3:6" x14ac:dyDescent="0.3">
      <c r="C56" s="25"/>
      <c r="D56" s="25"/>
      <c r="E56" s="25"/>
      <c r="F56" s="25"/>
    </row>
    <row r="57" spans="3:6" x14ac:dyDescent="0.3">
      <c r="C57" s="25"/>
      <c r="D57" s="25"/>
      <c r="E57" s="25"/>
      <c r="F57" s="25"/>
    </row>
    <row r="58" spans="3:6" x14ac:dyDescent="0.3">
      <c r="C58" s="25"/>
      <c r="D58" s="25"/>
      <c r="E58" s="25"/>
      <c r="F58" s="25"/>
    </row>
    <row r="59" spans="3:6" x14ac:dyDescent="0.3">
      <c r="C59" s="25"/>
      <c r="D59" s="25"/>
      <c r="E59" s="25"/>
      <c r="F59" s="25"/>
    </row>
    <row r="60" spans="3:6" x14ac:dyDescent="0.3">
      <c r="C60" s="25"/>
      <c r="D60" s="25"/>
      <c r="E60" s="25"/>
      <c r="F60" s="25"/>
    </row>
    <row r="61" spans="3:6" x14ac:dyDescent="0.3">
      <c r="C61" s="25"/>
      <c r="D61" s="25"/>
      <c r="E61" s="25"/>
      <c r="F61" s="25"/>
    </row>
    <row r="62" spans="3:6" x14ac:dyDescent="0.3">
      <c r="C62" s="25"/>
      <c r="D62" s="25"/>
      <c r="E62" s="25"/>
      <c r="F62" s="25"/>
    </row>
    <row r="63" spans="3:6" x14ac:dyDescent="0.3">
      <c r="C63" s="25"/>
      <c r="D63" s="25"/>
      <c r="E63" s="25"/>
      <c r="F63" s="25"/>
    </row>
    <row r="64" spans="3:6" x14ac:dyDescent="0.3">
      <c r="C64" s="25"/>
      <c r="D64" s="25"/>
      <c r="E64" s="25"/>
      <c r="F64" s="25"/>
    </row>
    <row r="65" spans="3:6" x14ac:dyDescent="0.3">
      <c r="C65" s="25"/>
      <c r="D65" s="25"/>
      <c r="E65" s="25"/>
      <c r="F65" s="25"/>
    </row>
    <row r="66" spans="3:6" x14ac:dyDescent="0.3">
      <c r="C66" s="25"/>
      <c r="D66" s="25"/>
      <c r="E66" s="25"/>
      <c r="F66" s="25"/>
    </row>
    <row r="67" spans="3:6" x14ac:dyDescent="0.3">
      <c r="C67" s="25"/>
      <c r="D67" s="25"/>
      <c r="E67" s="25"/>
      <c r="F67" s="25"/>
    </row>
    <row r="68" spans="3:6" x14ac:dyDescent="0.3">
      <c r="C68" s="25"/>
      <c r="D68" s="25"/>
      <c r="E68" s="25"/>
      <c r="F68" s="25"/>
    </row>
    <row r="69" spans="3:6" x14ac:dyDescent="0.3">
      <c r="C69" s="25"/>
      <c r="D69" s="25"/>
      <c r="E69" s="25"/>
      <c r="F69" s="25"/>
    </row>
    <row r="70" spans="3:6" x14ac:dyDescent="0.3">
      <c r="C70" s="25"/>
      <c r="D70" s="25"/>
      <c r="E70" s="25"/>
      <c r="F70" s="25"/>
    </row>
    <row r="71" spans="3:6" x14ac:dyDescent="0.3">
      <c r="C71" s="25"/>
      <c r="D71" s="25"/>
      <c r="E71" s="25"/>
      <c r="F71" s="25"/>
    </row>
    <row r="72" spans="3:6" x14ac:dyDescent="0.3">
      <c r="C72" s="25"/>
      <c r="D72" s="25"/>
      <c r="E72" s="25"/>
      <c r="F72" s="25"/>
    </row>
    <row r="73" spans="3:6" x14ac:dyDescent="0.3">
      <c r="C73" s="25"/>
      <c r="D73" s="25"/>
      <c r="E73" s="25"/>
      <c r="F73" s="25"/>
    </row>
    <row r="74" spans="3:6" x14ac:dyDescent="0.3">
      <c r="C74" s="25"/>
      <c r="D74" s="25"/>
      <c r="E74" s="25"/>
      <c r="F74" s="25"/>
    </row>
    <row r="75" spans="3:6" x14ac:dyDescent="0.3">
      <c r="C75" s="25"/>
      <c r="D75" s="25"/>
      <c r="E75" s="25"/>
      <c r="F75" s="25"/>
    </row>
    <row r="76" spans="3:6" x14ac:dyDescent="0.3">
      <c r="C76" s="25"/>
      <c r="D76" s="25"/>
      <c r="E76" s="25"/>
      <c r="F76" s="25"/>
    </row>
    <row r="77" spans="3:6" x14ac:dyDescent="0.3">
      <c r="C77" s="25"/>
      <c r="D77" s="25"/>
      <c r="E77" s="25"/>
      <c r="F77" s="25"/>
    </row>
    <row r="78" spans="3:6" x14ac:dyDescent="0.3">
      <c r="C78" s="25"/>
      <c r="D78" s="25"/>
      <c r="E78" s="25"/>
      <c r="F78" s="25"/>
    </row>
    <row r="79" spans="3:6" x14ac:dyDescent="0.3">
      <c r="C79" s="25"/>
      <c r="D79" s="25"/>
      <c r="E79" s="25"/>
      <c r="F79" s="25"/>
    </row>
    <row r="80" spans="3:6" x14ac:dyDescent="0.3">
      <c r="C80" s="25"/>
      <c r="D80" s="25"/>
      <c r="E80" s="25"/>
      <c r="F80" s="25"/>
    </row>
    <row r="81" spans="3:6" x14ac:dyDescent="0.3">
      <c r="C81" s="25"/>
      <c r="D81" s="25"/>
      <c r="E81" s="25"/>
      <c r="F81" s="25"/>
    </row>
    <row r="82" spans="3:6" x14ac:dyDescent="0.3">
      <c r="C82" s="25"/>
      <c r="D82" s="25"/>
      <c r="E82" s="25"/>
      <c r="F82" s="25"/>
    </row>
    <row r="83" spans="3:6" x14ac:dyDescent="0.3">
      <c r="C83" s="25"/>
      <c r="D83" s="25"/>
      <c r="E83" s="25"/>
      <c r="F83" s="25"/>
    </row>
    <row r="84" spans="3:6" x14ac:dyDescent="0.3">
      <c r="C84" s="25"/>
      <c r="D84" s="25"/>
      <c r="E84" s="25"/>
      <c r="F84" s="25"/>
    </row>
    <row r="85" spans="3:6" x14ac:dyDescent="0.3">
      <c r="C85" s="25"/>
      <c r="D85" s="25"/>
      <c r="E85" s="25"/>
      <c r="F85" s="25"/>
    </row>
    <row r="86" spans="3:6" x14ac:dyDescent="0.3">
      <c r="C86" s="25"/>
      <c r="D86" s="25"/>
      <c r="E86" s="25"/>
      <c r="F86" s="25"/>
    </row>
    <row r="87" spans="3:6" x14ac:dyDescent="0.3">
      <c r="C87" s="25"/>
      <c r="D87" s="25"/>
      <c r="E87" s="25"/>
      <c r="F87" s="25"/>
    </row>
    <row r="88" spans="3:6" x14ac:dyDescent="0.3">
      <c r="C88" s="25"/>
      <c r="D88" s="25"/>
      <c r="E88" s="25"/>
      <c r="F88" s="25"/>
    </row>
    <row r="89" spans="3:6" x14ac:dyDescent="0.3">
      <c r="C89" s="25"/>
      <c r="D89" s="25"/>
      <c r="E89" s="25"/>
      <c r="F89" s="25"/>
    </row>
    <row r="90" spans="3:6" x14ac:dyDescent="0.3">
      <c r="C90" s="25"/>
      <c r="D90" s="25"/>
      <c r="E90" s="25"/>
      <c r="F90" s="25"/>
    </row>
    <row r="91" spans="3:6" x14ac:dyDescent="0.3">
      <c r="C91" s="25"/>
      <c r="D91" s="25"/>
      <c r="E91" s="25"/>
      <c r="F91" s="25"/>
    </row>
    <row r="92" spans="3:6" x14ac:dyDescent="0.3">
      <c r="C92" s="25"/>
      <c r="D92" s="25"/>
      <c r="E92" s="25"/>
      <c r="F92" s="25"/>
    </row>
    <row r="93" spans="3:6" x14ac:dyDescent="0.3">
      <c r="C93" s="25"/>
      <c r="D93" s="25"/>
      <c r="E93" s="25"/>
      <c r="F93" s="25"/>
    </row>
    <row r="94" spans="3:6" x14ac:dyDescent="0.3">
      <c r="C94" s="25"/>
      <c r="D94" s="25"/>
      <c r="E94" s="25"/>
      <c r="F94" s="25"/>
    </row>
    <row r="95" spans="3:6" x14ac:dyDescent="0.3">
      <c r="C95" s="25"/>
      <c r="D95" s="25"/>
      <c r="E95" s="25"/>
      <c r="F95" s="25"/>
    </row>
    <row r="96" spans="3:6" x14ac:dyDescent="0.3">
      <c r="D96" s="25"/>
      <c r="E96" s="25"/>
      <c r="F96" s="25"/>
    </row>
    <row r="97" spans="4:6" x14ac:dyDescent="0.3">
      <c r="D97" s="25"/>
      <c r="E97" s="25"/>
      <c r="F97" s="25"/>
    </row>
    <row r="98" spans="4:6" x14ac:dyDescent="0.3">
      <c r="D98" s="25"/>
      <c r="E98" s="25"/>
      <c r="F98" s="25"/>
    </row>
    <row r="99" spans="4:6" x14ac:dyDescent="0.3">
      <c r="D99" s="25"/>
      <c r="E99" s="25"/>
      <c r="F99" s="25"/>
    </row>
    <row r="100" spans="4:6" x14ac:dyDescent="0.3">
      <c r="D100" s="25"/>
      <c r="E100" s="25"/>
      <c r="F100" s="25"/>
    </row>
    <row r="101" spans="4:6" x14ac:dyDescent="0.3">
      <c r="D101" s="25"/>
      <c r="E101" s="25"/>
      <c r="F101" s="25"/>
    </row>
    <row r="102" spans="4:6" x14ac:dyDescent="0.3">
      <c r="D102" s="25"/>
      <c r="E102" s="25"/>
      <c r="F102" s="25"/>
    </row>
    <row r="103" spans="4:6" x14ac:dyDescent="0.3">
      <c r="D103" s="25"/>
      <c r="E103" s="25"/>
      <c r="F103" s="25"/>
    </row>
    <row r="104" spans="4:6" x14ac:dyDescent="0.3">
      <c r="D104" s="25"/>
      <c r="E104" s="25"/>
      <c r="F104" s="25"/>
    </row>
    <row r="105" spans="4:6" x14ac:dyDescent="0.3">
      <c r="D105" s="25"/>
      <c r="E105" s="25"/>
      <c r="F105" s="25"/>
    </row>
    <row r="106" spans="4:6" x14ac:dyDescent="0.3">
      <c r="D106" s="25"/>
      <c r="E106" s="25"/>
      <c r="F106" s="25"/>
    </row>
    <row r="107" spans="4:6" x14ac:dyDescent="0.3">
      <c r="D107" s="25"/>
      <c r="E107" s="25"/>
      <c r="F107" s="25"/>
    </row>
    <row r="108" spans="4:6" x14ac:dyDescent="0.3">
      <c r="D108" s="25"/>
      <c r="E108" s="25"/>
      <c r="F108" s="25"/>
    </row>
    <row r="109" spans="4:6" x14ac:dyDescent="0.3">
      <c r="D109" s="25"/>
      <c r="E109" s="25"/>
      <c r="F109" s="25"/>
    </row>
    <row r="110" spans="4:6" x14ac:dyDescent="0.3">
      <c r="D110" s="25"/>
      <c r="E110" s="25"/>
      <c r="F110" s="25"/>
    </row>
    <row r="111" spans="4:6" x14ac:dyDescent="0.3">
      <c r="D111" s="25"/>
      <c r="E111" s="25"/>
      <c r="F111" s="25"/>
    </row>
  </sheetData>
  <mergeCells count="1">
    <mergeCell ref="B2:D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8C2A-E510-4E1D-86AF-A7898102D4A7}">
  <dimension ref="B2:Q41"/>
  <sheetViews>
    <sheetView topLeftCell="A25" workbookViewId="0">
      <selection activeCell="I36" sqref="I36:L41"/>
    </sheetView>
  </sheetViews>
  <sheetFormatPr defaultRowHeight="14.4" x14ac:dyDescent="0.3"/>
  <cols>
    <col min="2" max="2" width="34.109375" bestFit="1" customWidth="1"/>
    <col min="3" max="8" width="7.77734375" bestFit="1" customWidth="1"/>
    <col min="9" max="12" width="10" bestFit="1" customWidth="1"/>
  </cols>
  <sheetData>
    <row r="2" spans="2:13" ht="15" thickBot="1" x14ac:dyDescent="0.35">
      <c r="C2" s="39">
        <v>42430</v>
      </c>
      <c r="D2" s="39">
        <v>42795</v>
      </c>
      <c r="E2" s="39">
        <v>43160</v>
      </c>
      <c r="F2" s="39">
        <v>43525</v>
      </c>
      <c r="G2" s="39">
        <v>43891</v>
      </c>
      <c r="H2" s="39">
        <v>44256</v>
      </c>
      <c r="I2" s="39">
        <v>44621</v>
      </c>
      <c r="J2" s="39">
        <v>44986</v>
      </c>
      <c r="K2" s="39">
        <v>45352</v>
      </c>
      <c r="L2" s="39">
        <v>45717</v>
      </c>
      <c r="M2" s="38"/>
    </row>
    <row r="3" spans="2:13" ht="15" thickBot="1" x14ac:dyDescent="0.35">
      <c r="B3" s="40" t="s">
        <v>116</v>
      </c>
      <c r="C3" s="41">
        <v>4171</v>
      </c>
      <c r="D3" s="41">
        <v>5185</v>
      </c>
      <c r="E3" s="41">
        <v>6059</v>
      </c>
      <c r="F3" s="41">
        <v>5800</v>
      </c>
      <c r="G3" s="41">
        <v>7623</v>
      </c>
      <c r="H3" s="41">
        <v>9163</v>
      </c>
      <c r="I3" s="41">
        <v>9048</v>
      </c>
      <c r="J3" s="41">
        <v>9991</v>
      </c>
      <c r="K3" s="41">
        <v>15469</v>
      </c>
      <c r="L3" s="41">
        <v>11886</v>
      </c>
    </row>
    <row r="4" spans="2:13" x14ac:dyDescent="0.3">
      <c r="B4" s="42" t="s">
        <v>117</v>
      </c>
      <c r="C4" s="41">
        <v>6025</v>
      </c>
      <c r="D4" s="41">
        <v>6512</v>
      </c>
      <c r="E4" s="41">
        <v>7485</v>
      </c>
      <c r="F4" s="41">
        <v>8909</v>
      </c>
      <c r="G4" s="41">
        <v>9723</v>
      </c>
      <c r="H4" s="41">
        <v>11672</v>
      </c>
      <c r="I4" s="41">
        <v>12829</v>
      </c>
      <c r="J4" s="41">
        <v>14089</v>
      </c>
      <c r="K4" s="41">
        <v>14537</v>
      </c>
      <c r="L4" s="41">
        <v>14942</v>
      </c>
    </row>
    <row r="5" spans="2:13" x14ac:dyDescent="0.3">
      <c r="B5" s="43" t="s">
        <v>78</v>
      </c>
      <c r="C5" s="44">
        <v>-257</v>
      </c>
      <c r="D5" s="44">
        <v>173</v>
      </c>
      <c r="E5" s="44">
        <v>0</v>
      </c>
      <c r="F5" s="44">
        <v>0</v>
      </c>
      <c r="G5" s="44">
        <v>0</v>
      </c>
      <c r="H5" s="44">
        <v>0</v>
      </c>
      <c r="I5" s="44">
        <v>0</v>
      </c>
      <c r="J5" s="44">
        <v>0</v>
      </c>
      <c r="K5" s="44">
        <v>0</v>
      </c>
      <c r="L5" s="44">
        <v>0</v>
      </c>
    </row>
    <row r="6" spans="2:13" x14ac:dyDescent="0.3">
      <c r="B6" s="43" t="s">
        <v>45</v>
      </c>
      <c r="C6" s="44">
        <v>89</v>
      </c>
      <c r="D6" s="44">
        <v>37</v>
      </c>
      <c r="E6" s="44">
        <v>-146</v>
      </c>
      <c r="F6" s="44">
        <v>-195</v>
      </c>
      <c r="G6" s="44">
        <v>-331</v>
      </c>
      <c r="H6" s="44">
        <v>-543</v>
      </c>
      <c r="I6" s="44">
        <v>-758</v>
      </c>
      <c r="J6" s="44">
        <v>-339</v>
      </c>
      <c r="K6" s="44">
        <v>74</v>
      </c>
      <c r="L6" s="44">
        <v>-584</v>
      </c>
    </row>
    <row r="7" spans="2:13" x14ac:dyDescent="0.3">
      <c r="B7" s="43" t="s">
        <v>118</v>
      </c>
      <c r="C7" s="44">
        <v>164</v>
      </c>
      <c r="D7" s="44">
        <v>501</v>
      </c>
      <c r="E7" s="44">
        <v>0</v>
      </c>
      <c r="F7" s="44">
        <v>0</v>
      </c>
      <c r="G7" s="44">
        <v>0</v>
      </c>
      <c r="H7" s="44">
        <v>0</v>
      </c>
      <c r="I7" s="44">
        <v>0</v>
      </c>
      <c r="J7" s="44">
        <v>0</v>
      </c>
      <c r="K7" s="44">
        <v>0</v>
      </c>
      <c r="L7" s="44">
        <v>0</v>
      </c>
    </row>
    <row r="8" spans="2:13" x14ac:dyDescent="0.3">
      <c r="B8" s="43" t="s">
        <v>119</v>
      </c>
      <c r="C8" s="44">
        <v>0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  <c r="I8" s="44">
        <v>0</v>
      </c>
      <c r="J8" s="44">
        <v>0</v>
      </c>
      <c r="K8" s="44">
        <v>0</v>
      </c>
      <c r="L8" s="44">
        <v>0</v>
      </c>
    </row>
    <row r="9" spans="2:13" ht="15" thickBot="1" x14ac:dyDescent="0.35">
      <c r="B9" s="43" t="s">
        <v>120</v>
      </c>
      <c r="C9" s="44">
        <v>-77</v>
      </c>
      <c r="D9" s="44">
        <v>-99</v>
      </c>
      <c r="E9" s="44">
        <v>982</v>
      </c>
      <c r="F9" s="44">
        <v>-147</v>
      </c>
      <c r="G9" s="44">
        <v>742</v>
      </c>
      <c r="H9" s="44">
        <v>442</v>
      </c>
      <c r="I9" s="44">
        <v>-242</v>
      </c>
      <c r="J9" s="44">
        <v>-621</v>
      </c>
      <c r="K9" s="45">
        <v>1239</v>
      </c>
      <c r="L9" s="44">
        <v>-204</v>
      </c>
    </row>
    <row r="10" spans="2:13" x14ac:dyDescent="0.3">
      <c r="B10" s="42" t="s">
        <v>121</v>
      </c>
      <c r="C10" s="46">
        <v>-81</v>
      </c>
      <c r="D10" s="46">
        <v>566</v>
      </c>
      <c r="E10" s="46">
        <v>836</v>
      </c>
      <c r="F10" s="46">
        <v>-342</v>
      </c>
      <c r="G10" s="46">
        <v>411</v>
      </c>
      <c r="H10" s="46">
        <v>-101</v>
      </c>
      <c r="I10" s="41">
        <v>-1000</v>
      </c>
      <c r="J10" s="46">
        <v>-960</v>
      </c>
      <c r="K10" s="41">
        <v>1313</v>
      </c>
      <c r="L10" s="46">
        <v>-788</v>
      </c>
    </row>
    <row r="11" spans="2:13" x14ac:dyDescent="0.3">
      <c r="B11" s="43" t="s">
        <v>122</v>
      </c>
      <c r="C11" s="45">
        <v>-1765</v>
      </c>
      <c r="D11" s="45">
        <v>-1859</v>
      </c>
      <c r="E11" s="45">
        <v>-2264</v>
      </c>
      <c r="F11" s="45">
        <v>-2767</v>
      </c>
      <c r="G11" s="45">
        <v>-2505</v>
      </c>
      <c r="H11" s="45">
        <v>-2407</v>
      </c>
      <c r="I11" s="45">
        <v>-2784</v>
      </c>
      <c r="J11" s="45">
        <v>-3138</v>
      </c>
      <c r="K11" s="44">
        <v>-381</v>
      </c>
      <c r="L11" s="45">
        <v>-2268</v>
      </c>
    </row>
    <row r="12" spans="2:13" x14ac:dyDescent="0.3">
      <c r="B12" s="43" t="s">
        <v>123</v>
      </c>
      <c r="C12" s="44">
        <v>-8</v>
      </c>
      <c r="D12" s="44">
        <v>-21</v>
      </c>
      <c r="E12" s="44">
        <v>0</v>
      </c>
      <c r="F12" s="44">
        <v>0</v>
      </c>
      <c r="G12" s="44">
        <v>0</v>
      </c>
      <c r="H12" s="44">
        <v>0</v>
      </c>
      <c r="I12" s="44">
        <v>0</v>
      </c>
      <c r="J12" s="44">
        <v>0</v>
      </c>
      <c r="K12" s="44">
        <v>0</v>
      </c>
      <c r="L12" s="44">
        <v>0</v>
      </c>
    </row>
    <row r="13" spans="2:13" ht="15" thickBot="1" x14ac:dyDescent="0.35">
      <c r="B13" s="43" t="s">
        <v>124</v>
      </c>
      <c r="C13" s="44">
        <v>0</v>
      </c>
      <c r="D13" s="44">
        <v>-13</v>
      </c>
      <c r="E13" s="44">
        <v>2</v>
      </c>
      <c r="F13" s="44">
        <v>0</v>
      </c>
      <c r="G13" s="44">
        <v>-6</v>
      </c>
      <c r="H13" s="44">
        <v>-1</v>
      </c>
      <c r="I13" s="44">
        <v>3</v>
      </c>
      <c r="J13" s="44">
        <v>0</v>
      </c>
      <c r="K13" s="44">
        <v>0</v>
      </c>
      <c r="L13" s="44">
        <v>0</v>
      </c>
    </row>
    <row r="14" spans="2:13" x14ac:dyDescent="0.3">
      <c r="B14" s="47" t="s">
        <v>125</v>
      </c>
      <c r="C14" s="48">
        <v>-282</v>
      </c>
      <c r="D14" s="49">
        <v>-1173</v>
      </c>
      <c r="E14" s="49">
        <v>-1063</v>
      </c>
      <c r="F14" s="48">
        <v>-438</v>
      </c>
      <c r="G14" s="49">
        <v>1791</v>
      </c>
      <c r="H14" s="49">
        <v>-1228</v>
      </c>
      <c r="I14" s="49">
        <v>-1728</v>
      </c>
      <c r="J14" s="49">
        <v>-1484</v>
      </c>
      <c r="K14" s="49">
        <v>-5324</v>
      </c>
      <c r="L14" s="49">
        <v>6473</v>
      </c>
    </row>
    <row r="15" spans="2:13" x14ac:dyDescent="0.3">
      <c r="B15" s="50" t="s">
        <v>126</v>
      </c>
      <c r="C15" s="51">
        <v>-810</v>
      </c>
      <c r="D15" s="52">
        <v>-1113</v>
      </c>
      <c r="E15" s="51">
        <v>-895</v>
      </c>
      <c r="F15" s="51">
        <v>-767</v>
      </c>
      <c r="G15" s="51">
        <v>-862</v>
      </c>
      <c r="H15" s="52">
        <v>-4163</v>
      </c>
      <c r="I15" s="52">
        <v>-1228</v>
      </c>
      <c r="J15" s="52">
        <v>-1192</v>
      </c>
      <c r="K15" s="52">
        <v>-1477</v>
      </c>
      <c r="L15" s="52">
        <v>-1275</v>
      </c>
    </row>
    <row r="16" spans="2:13" x14ac:dyDescent="0.3">
      <c r="B16" s="50" t="s">
        <v>127</v>
      </c>
      <c r="C16" s="51">
        <v>99</v>
      </c>
      <c r="D16" s="51">
        <v>176</v>
      </c>
      <c r="E16" s="51">
        <v>32</v>
      </c>
      <c r="F16" s="51">
        <v>13</v>
      </c>
      <c r="G16" s="51">
        <v>52</v>
      </c>
      <c r="H16" s="51">
        <v>97</v>
      </c>
      <c r="I16" s="51">
        <v>175</v>
      </c>
      <c r="J16" s="51">
        <v>181</v>
      </c>
      <c r="K16" s="51">
        <v>20</v>
      </c>
      <c r="L16" s="51">
        <v>13</v>
      </c>
    </row>
    <row r="17" spans="2:12" x14ac:dyDescent="0.3">
      <c r="B17" s="50" t="s">
        <v>128</v>
      </c>
      <c r="C17" s="52">
        <v>-20666</v>
      </c>
      <c r="D17" s="52">
        <v>-31214</v>
      </c>
      <c r="E17" s="52">
        <v>-51855</v>
      </c>
      <c r="F17" s="52">
        <v>-74365</v>
      </c>
      <c r="G17" s="52">
        <v>-36090</v>
      </c>
      <c r="H17" s="52">
        <v>-39920</v>
      </c>
      <c r="I17" s="52">
        <v>-48522</v>
      </c>
      <c r="J17" s="52">
        <v>-22649</v>
      </c>
      <c r="K17" s="52">
        <v>-21337</v>
      </c>
      <c r="L17" s="52">
        <v>-22957</v>
      </c>
    </row>
    <row r="18" spans="2:12" x14ac:dyDescent="0.3">
      <c r="B18" s="50" t="s">
        <v>129</v>
      </c>
      <c r="C18" s="52">
        <v>20937</v>
      </c>
      <c r="D18" s="52">
        <v>30083</v>
      </c>
      <c r="E18" s="52">
        <v>52897</v>
      </c>
      <c r="F18" s="52">
        <v>74691</v>
      </c>
      <c r="G18" s="52">
        <v>37690</v>
      </c>
      <c r="H18" s="52">
        <v>38486</v>
      </c>
      <c r="I18" s="52">
        <v>47786</v>
      </c>
      <c r="J18" s="52">
        <v>23462</v>
      </c>
      <c r="K18" s="52">
        <v>19846</v>
      </c>
      <c r="L18" s="52">
        <v>23987</v>
      </c>
    </row>
    <row r="19" spans="2:12" x14ac:dyDescent="0.3">
      <c r="B19" s="50" t="s">
        <v>130</v>
      </c>
      <c r="C19" s="51">
        <v>315</v>
      </c>
      <c r="D19" s="51">
        <v>264</v>
      </c>
      <c r="E19" s="51">
        <v>297</v>
      </c>
      <c r="F19" s="51">
        <v>289</v>
      </c>
      <c r="G19" s="51">
        <v>351</v>
      </c>
      <c r="H19" s="51">
        <v>277</v>
      </c>
      <c r="I19" s="51">
        <v>161</v>
      </c>
      <c r="J19" s="51">
        <v>259</v>
      </c>
      <c r="K19" s="51">
        <v>425</v>
      </c>
      <c r="L19" s="51">
        <v>835</v>
      </c>
    </row>
    <row r="20" spans="2:12" x14ac:dyDescent="0.3">
      <c r="B20" s="50" t="s">
        <v>131</v>
      </c>
      <c r="C20" s="51">
        <v>33</v>
      </c>
      <c r="D20" s="51">
        <v>14</v>
      </c>
      <c r="E20" s="51">
        <v>0</v>
      </c>
      <c r="F20" s="51">
        <v>1</v>
      </c>
      <c r="G20" s="51">
        <v>1</v>
      </c>
      <c r="H20" s="51">
        <v>1</v>
      </c>
      <c r="I20" s="51">
        <v>1</v>
      </c>
      <c r="J20" s="51">
        <v>2</v>
      </c>
      <c r="K20" s="51">
        <v>3</v>
      </c>
      <c r="L20" s="51">
        <v>0</v>
      </c>
    </row>
    <row r="21" spans="2:12" x14ac:dyDescent="0.3">
      <c r="B21" s="50" t="s">
        <v>132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</row>
    <row r="22" spans="2:12" x14ac:dyDescent="0.3">
      <c r="B22" s="50" t="s">
        <v>133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</row>
    <row r="23" spans="2:12" x14ac:dyDescent="0.3">
      <c r="B23" s="50" t="s">
        <v>134</v>
      </c>
      <c r="C23" s="51">
        <v>161</v>
      </c>
      <c r="D23" s="51">
        <v>20</v>
      </c>
      <c r="E23" s="51">
        <v>73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</row>
    <row r="24" spans="2:12" x14ac:dyDescent="0.3">
      <c r="B24" s="50" t="s">
        <v>135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1">
        <v>-334</v>
      </c>
      <c r="K24" s="51">
        <v>0</v>
      </c>
      <c r="L24" s="51">
        <v>0</v>
      </c>
    </row>
    <row r="25" spans="2:12" ht="15" thickBot="1" x14ac:dyDescent="0.35">
      <c r="B25" s="50" t="s">
        <v>136</v>
      </c>
      <c r="C25" s="51">
        <v>-351</v>
      </c>
      <c r="D25" s="51">
        <v>597</v>
      </c>
      <c r="E25" s="52">
        <v>-1612</v>
      </c>
      <c r="F25" s="51">
        <v>-300</v>
      </c>
      <c r="G25" s="51">
        <v>649</v>
      </c>
      <c r="H25" s="52">
        <v>3994</v>
      </c>
      <c r="I25" s="51">
        <v>-101</v>
      </c>
      <c r="J25" s="52">
        <v>-1213</v>
      </c>
      <c r="K25" s="52">
        <v>-2804</v>
      </c>
      <c r="L25" s="52">
        <v>5870</v>
      </c>
    </row>
    <row r="26" spans="2:12" x14ac:dyDescent="0.3">
      <c r="B26" s="40" t="s">
        <v>137</v>
      </c>
      <c r="C26" s="41">
        <v>-3864</v>
      </c>
      <c r="D26" s="41">
        <v>-4214</v>
      </c>
      <c r="E26" s="41">
        <v>-4975</v>
      </c>
      <c r="F26" s="41">
        <v>-5390</v>
      </c>
      <c r="G26" s="41">
        <v>-6819</v>
      </c>
      <c r="H26" s="41">
        <v>-9309</v>
      </c>
      <c r="I26" s="41">
        <v>-8015</v>
      </c>
      <c r="J26" s="41">
        <v>-8953</v>
      </c>
      <c r="K26" s="41">
        <v>-10034</v>
      </c>
      <c r="L26" s="41">
        <v>-13101</v>
      </c>
    </row>
    <row r="27" spans="2:12" x14ac:dyDescent="0.3">
      <c r="B27" s="43" t="s">
        <v>138</v>
      </c>
      <c r="C27" s="44">
        <v>0</v>
      </c>
      <c r="D27" s="44">
        <v>0</v>
      </c>
      <c r="E27" s="44">
        <v>0</v>
      </c>
      <c r="F27" s="44">
        <v>0</v>
      </c>
      <c r="G27" s="44">
        <v>0</v>
      </c>
      <c r="H27" s="44">
        <v>0</v>
      </c>
      <c r="I27" s="44">
        <v>0</v>
      </c>
      <c r="J27" s="44">
        <v>0</v>
      </c>
      <c r="K27" s="44">
        <v>0</v>
      </c>
      <c r="L27" s="44">
        <v>0</v>
      </c>
    </row>
    <row r="28" spans="2:12" x14ac:dyDescent="0.3">
      <c r="B28" s="43" t="s">
        <v>139</v>
      </c>
      <c r="C28" s="44">
        <v>177</v>
      </c>
      <c r="D28" s="44">
        <v>460</v>
      </c>
      <c r="E28" s="44">
        <v>0</v>
      </c>
      <c r="F28" s="44">
        <v>99</v>
      </c>
      <c r="G28" s="44">
        <v>0</v>
      </c>
      <c r="H28" s="44">
        <v>188</v>
      </c>
      <c r="I28" s="44">
        <v>55</v>
      </c>
      <c r="J28" s="44">
        <v>286</v>
      </c>
      <c r="K28" s="44">
        <v>0</v>
      </c>
      <c r="L28" s="44">
        <v>0</v>
      </c>
    </row>
    <row r="29" spans="2:12" x14ac:dyDescent="0.3">
      <c r="B29" s="43" t="s">
        <v>140</v>
      </c>
      <c r="C29" s="44">
        <v>0</v>
      </c>
      <c r="D29" s="44">
        <v>-360</v>
      </c>
      <c r="E29" s="44">
        <v>-277</v>
      </c>
      <c r="F29" s="44">
        <v>0</v>
      </c>
      <c r="G29" s="44">
        <v>-99</v>
      </c>
      <c r="H29" s="44">
        <v>-188</v>
      </c>
      <c r="I29" s="44">
        <v>-55</v>
      </c>
      <c r="J29" s="44">
        <v>-208</v>
      </c>
      <c r="K29" s="44">
        <v>-85</v>
      </c>
      <c r="L29" s="44">
        <v>0</v>
      </c>
    </row>
    <row r="30" spans="2:12" x14ac:dyDescent="0.3">
      <c r="B30" s="43" t="s">
        <v>141</v>
      </c>
      <c r="C30" s="44">
        <v>-2</v>
      </c>
      <c r="D30" s="44">
        <v>-14</v>
      </c>
      <c r="E30" s="44">
        <v>-6</v>
      </c>
      <c r="F30" s="44">
        <v>-7</v>
      </c>
      <c r="G30" s="44">
        <v>-90</v>
      </c>
      <c r="H30" s="44">
        <v>-92</v>
      </c>
      <c r="I30" s="44">
        <v>-82</v>
      </c>
      <c r="J30" s="44">
        <v>-88</v>
      </c>
      <c r="K30" s="44">
        <v>-110</v>
      </c>
      <c r="L30" s="44">
        <v>-130</v>
      </c>
    </row>
    <row r="31" spans="2:12" x14ac:dyDescent="0.3">
      <c r="B31" s="43" t="s">
        <v>142</v>
      </c>
      <c r="C31" s="45">
        <v>-3354</v>
      </c>
      <c r="D31" s="45">
        <v>-3572</v>
      </c>
      <c r="E31" s="45">
        <v>-3911</v>
      </c>
      <c r="F31" s="45">
        <v>-4554</v>
      </c>
      <c r="G31" s="45">
        <v>-5196</v>
      </c>
      <c r="H31" s="45">
        <v>-8811</v>
      </c>
      <c r="I31" s="45">
        <v>-7526</v>
      </c>
      <c r="J31" s="45">
        <v>-8474</v>
      </c>
      <c r="K31" s="45">
        <v>-9416</v>
      </c>
      <c r="L31" s="45">
        <v>-12473</v>
      </c>
    </row>
    <row r="32" spans="2:12" x14ac:dyDescent="0.3">
      <c r="B32" s="43" t="s">
        <v>143</v>
      </c>
      <c r="C32" s="44">
        <v>0</v>
      </c>
      <c r="D32" s="44">
        <v>0</v>
      </c>
      <c r="E32" s="44">
        <v>0</v>
      </c>
      <c r="F32" s="44">
        <v>0</v>
      </c>
      <c r="G32" s="44">
        <v>-373</v>
      </c>
      <c r="H32" s="44">
        <v>-406</v>
      </c>
      <c r="I32" s="44">
        <v>-407</v>
      </c>
      <c r="J32" s="44">
        <v>-467</v>
      </c>
      <c r="K32" s="44">
        <v>-423</v>
      </c>
      <c r="L32" s="44">
        <v>-498</v>
      </c>
    </row>
    <row r="33" spans="2:17" ht="15" thickBot="1" x14ac:dyDescent="0.35">
      <c r="B33" s="43" t="s">
        <v>144</v>
      </c>
      <c r="C33" s="44">
        <v>-685</v>
      </c>
      <c r="D33" s="44">
        <v>-728</v>
      </c>
      <c r="E33" s="44">
        <v>-781</v>
      </c>
      <c r="F33" s="44">
        <v>-928</v>
      </c>
      <c r="G33" s="45">
        <v>-1061</v>
      </c>
      <c r="H33" s="44">
        <v>0</v>
      </c>
      <c r="I33" s="44">
        <v>0</v>
      </c>
      <c r="J33" s="44">
        <v>-2</v>
      </c>
      <c r="K33" s="44">
        <v>0</v>
      </c>
      <c r="L33" s="44">
        <v>0</v>
      </c>
    </row>
    <row r="34" spans="2:17" x14ac:dyDescent="0.3">
      <c r="B34" s="47" t="s">
        <v>35</v>
      </c>
      <c r="C34" s="48">
        <v>25</v>
      </c>
      <c r="D34" s="48">
        <v>-202</v>
      </c>
      <c r="E34" s="48">
        <v>21</v>
      </c>
      <c r="F34" s="48">
        <v>-28</v>
      </c>
      <c r="G34" s="49">
        <v>2595</v>
      </c>
      <c r="H34" s="49">
        <v>-1374</v>
      </c>
      <c r="I34" s="48">
        <v>-695</v>
      </c>
      <c r="J34" s="48">
        <v>-446</v>
      </c>
      <c r="K34" s="48">
        <v>111</v>
      </c>
      <c r="L34" s="49">
        <v>5258</v>
      </c>
    </row>
    <row r="36" spans="2:17" x14ac:dyDescent="0.3">
      <c r="B36" s="84" t="s">
        <v>195</v>
      </c>
      <c r="I36" cm="1">
        <f t="array" ref="I36:L36">TRANSPOSE('Data Sheet 2'!D3:D6)</f>
        <v>155220000</v>
      </c>
      <c r="J36">
        <v>169980000</v>
      </c>
      <c r="K36">
        <v>213240000</v>
      </c>
      <c r="L36">
        <v>220510000</v>
      </c>
      <c r="N36">
        <f>I36/10000</f>
        <v>15522</v>
      </c>
      <c r="O36">
        <f t="shared" ref="O36:Q37" si="0">J36/10000</f>
        <v>16998</v>
      </c>
      <c r="P36">
        <f t="shared" si="0"/>
        <v>21324</v>
      </c>
      <c r="Q36">
        <f t="shared" si="0"/>
        <v>22051</v>
      </c>
    </row>
    <row r="37" spans="2:17" x14ac:dyDescent="0.3">
      <c r="B37" s="84" t="s">
        <v>196</v>
      </c>
      <c r="I37" cm="1">
        <f t="array" ref="I37:L37">TRANSPOSE('Data Sheet 2'!G3:G6)</f>
        <v>112800000</v>
      </c>
      <c r="J37">
        <v>120280000</v>
      </c>
      <c r="K37">
        <v>128760000</v>
      </c>
      <c r="L37">
        <v>165370000</v>
      </c>
      <c r="N37">
        <f>I37/10000</f>
        <v>11280</v>
      </c>
      <c r="O37">
        <f t="shared" si="0"/>
        <v>12028</v>
      </c>
      <c r="P37">
        <f t="shared" si="0"/>
        <v>12876</v>
      </c>
      <c r="Q37">
        <f t="shared" si="0"/>
        <v>16537</v>
      </c>
    </row>
    <row r="38" spans="2:17" x14ac:dyDescent="0.3">
      <c r="B38" s="84" t="s">
        <v>197</v>
      </c>
      <c r="I38" cm="1">
        <f t="array" ref="I38:L38">TRANSPOSE('Data Sheet 2'!H3:H6)</f>
        <v>101500000</v>
      </c>
      <c r="J38">
        <v>105370000</v>
      </c>
      <c r="K38">
        <v>142000000</v>
      </c>
      <c r="L38">
        <v>137340000</v>
      </c>
    </row>
    <row r="39" spans="2:17" x14ac:dyDescent="0.3">
      <c r="B39" s="80" t="s">
        <v>192</v>
      </c>
      <c r="I39" cm="1">
        <f t="array" ref="I39:L39">TRANSPOSE('Data Sheet 2'!M3:M6)</f>
        <v>2349591.2599999998</v>
      </c>
      <c r="J39">
        <v>2349591.2599999998</v>
      </c>
      <c r="K39">
        <v>2349591.2599999998</v>
      </c>
      <c r="L39">
        <v>2349591.2599999998</v>
      </c>
    </row>
    <row r="40" spans="2:17" x14ac:dyDescent="0.3">
      <c r="B40" s="80" t="s">
        <v>193</v>
      </c>
      <c r="I40" cm="1">
        <f t="array" ref="I40:L40">TRANSPOSE('Data Sheet 2'!N3:N6)</f>
        <v>2349591.2599999998</v>
      </c>
      <c r="J40">
        <v>2349591.2599999998</v>
      </c>
      <c r="K40">
        <v>2349591.2599999998</v>
      </c>
      <c r="L40">
        <v>2349591.2599999998</v>
      </c>
    </row>
    <row r="41" spans="2:17" x14ac:dyDescent="0.3">
      <c r="B41" s="85" t="s">
        <v>198</v>
      </c>
      <c r="C41" s="86">
        <v>5685</v>
      </c>
      <c r="D41" s="86">
        <v>6186</v>
      </c>
      <c r="E41" s="86">
        <v>7170</v>
      </c>
      <c r="F41" s="86">
        <v>7206</v>
      </c>
      <c r="G41" s="86">
        <v>7535</v>
      </c>
      <c r="H41" s="86">
        <v>8802</v>
      </c>
      <c r="I41" s="86">
        <v>9068</v>
      </c>
      <c r="J41" s="86">
        <v>9574</v>
      </c>
      <c r="K41" s="86">
        <v>10486</v>
      </c>
      <c r="L41" s="86">
        <v>11315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B65" sqref="B65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63</v>
      </c>
      <c r="E1" s="139" t="str">
        <f>IF(B2&lt;&gt;B3, "A NEW VERSION OF THE WORKSHEET IS AVAILABLE", "")</f>
        <v/>
      </c>
      <c r="F1" s="139"/>
      <c r="G1" s="139"/>
      <c r="H1" s="139"/>
      <c r="I1" s="139"/>
      <c r="J1" s="139"/>
      <c r="K1" s="139"/>
    </row>
    <row r="2" spans="1:11" x14ac:dyDescent="0.3">
      <c r="A2" s="1" t="s">
        <v>61</v>
      </c>
      <c r="B2" s="4">
        <v>2.1</v>
      </c>
      <c r="E2" s="140" t="s">
        <v>36</v>
      </c>
      <c r="F2" s="140"/>
      <c r="G2" s="140"/>
      <c r="H2" s="140"/>
      <c r="I2" s="140"/>
      <c r="J2" s="140"/>
      <c r="K2" s="140"/>
    </row>
    <row r="3" spans="1:11" x14ac:dyDescent="0.3">
      <c r="A3" s="1" t="s">
        <v>62</v>
      </c>
      <c r="B3" s="4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4" t="s">
        <v>42</v>
      </c>
      <c r="B6" s="4">
        <f>IF(B9&gt;0, B9/B8, 0)</f>
        <v>235.1157090097054</v>
      </c>
    </row>
    <row r="7" spans="1:11" x14ac:dyDescent="0.3">
      <c r="A7" s="4" t="s">
        <v>31</v>
      </c>
      <c r="B7">
        <v>1</v>
      </c>
    </row>
    <row r="8" spans="1:11" x14ac:dyDescent="0.3">
      <c r="A8" s="4" t="s">
        <v>43</v>
      </c>
      <c r="B8">
        <v>2328.6</v>
      </c>
    </row>
    <row r="9" spans="1:11" x14ac:dyDescent="0.3">
      <c r="A9" s="4" t="s">
        <v>79</v>
      </c>
      <c r="B9">
        <v>547490.43999999994</v>
      </c>
    </row>
    <row r="15" spans="1:11" x14ac:dyDescent="0.3">
      <c r="A15" s="1" t="s">
        <v>37</v>
      </c>
    </row>
    <row r="16" spans="1:11" s="18" customFormat="1" x14ac:dyDescent="0.3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">
      <c r="A17" s="6" t="s">
        <v>6</v>
      </c>
      <c r="B17">
        <v>32186</v>
      </c>
      <c r="C17">
        <v>33162</v>
      </c>
      <c r="D17">
        <v>35545</v>
      </c>
      <c r="E17">
        <v>39310</v>
      </c>
      <c r="F17">
        <v>39783</v>
      </c>
      <c r="G17">
        <v>47028</v>
      </c>
      <c r="H17">
        <v>52446</v>
      </c>
      <c r="I17">
        <v>60580</v>
      </c>
      <c r="J17">
        <v>61896</v>
      </c>
      <c r="K17">
        <v>63121</v>
      </c>
    </row>
    <row r="18" spans="1:11" s="6" customFormat="1" x14ac:dyDescent="0.3">
      <c r="A18" s="4" t="s">
        <v>80</v>
      </c>
      <c r="B18">
        <v>13184</v>
      </c>
      <c r="C18">
        <v>13606</v>
      </c>
      <c r="D18">
        <v>14233</v>
      </c>
      <c r="E18">
        <v>15845</v>
      </c>
      <c r="F18">
        <v>15697</v>
      </c>
      <c r="G18">
        <v>20141</v>
      </c>
      <c r="H18">
        <v>22871</v>
      </c>
      <c r="I18">
        <v>28427</v>
      </c>
      <c r="J18">
        <v>26822</v>
      </c>
      <c r="K18">
        <v>27344</v>
      </c>
    </row>
    <row r="19" spans="1:11" s="6" customFormat="1" x14ac:dyDescent="0.3">
      <c r="A19" s="4" t="s">
        <v>81</v>
      </c>
      <c r="B19">
        <v>-83</v>
      </c>
      <c r="C19">
        <v>-144</v>
      </c>
      <c r="D19">
        <v>72</v>
      </c>
      <c r="E19">
        <v>-12</v>
      </c>
      <c r="F19">
        <v>108</v>
      </c>
      <c r="G19">
        <v>405</v>
      </c>
      <c r="H19">
        <v>22</v>
      </c>
      <c r="I19">
        <v>75</v>
      </c>
      <c r="J19">
        <v>11</v>
      </c>
      <c r="K19">
        <v>153</v>
      </c>
    </row>
    <row r="20" spans="1:11" s="6" customFormat="1" x14ac:dyDescent="0.3">
      <c r="A20" s="4" t="s">
        <v>82</v>
      </c>
      <c r="B20">
        <v>309</v>
      </c>
      <c r="C20">
        <v>295</v>
      </c>
      <c r="D20">
        <v>295</v>
      </c>
      <c r="E20">
        <v>308</v>
      </c>
      <c r="F20">
        <v>299</v>
      </c>
      <c r="G20">
        <v>339</v>
      </c>
      <c r="H20">
        <v>318</v>
      </c>
      <c r="I20">
        <v>384</v>
      </c>
      <c r="J20">
        <v>446</v>
      </c>
      <c r="K20">
        <v>427</v>
      </c>
    </row>
    <row r="21" spans="1:11" s="6" customFormat="1" x14ac:dyDescent="0.3">
      <c r="A21" s="4" t="s">
        <v>83</v>
      </c>
      <c r="B21">
        <v>2966</v>
      </c>
      <c r="C21">
        <v>2887</v>
      </c>
      <c r="D21">
        <v>2998</v>
      </c>
      <c r="E21">
        <v>3041</v>
      </c>
      <c r="F21">
        <v>2906</v>
      </c>
      <c r="G21">
        <v>2868</v>
      </c>
      <c r="H21">
        <v>3354</v>
      </c>
      <c r="I21">
        <v>3791</v>
      </c>
      <c r="J21">
        <v>3385</v>
      </c>
      <c r="K21">
        <v>3834</v>
      </c>
    </row>
    <row r="22" spans="1:11" s="6" customFormat="1" x14ac:dyDescent="0.3">
      <c r="A22" s="4" t="s">
        <v>84</v>
      </c>
      <c r="B22">
        <v>1680</v>
      </c>
      <c r="C22">
        <v>1743</v>
      </c>
      <c r="D22">
        <v>1860</v>
      </c>
      <c r="E22">
        <v>1875</v>
      </c>
      <c r="F22">
        <v>1820</v>
      </c>
      <c r="G22">
        <v>2358</v>
      </c>
      <c r="H22">
        <v>2545</v>
      </c>
      <c r="I22">
        <v>2854</v>
      </c>
      <c r="J22">
        <v>3009</v>
      </c>
      <c r="K22">
        <v>3077</v>
      </c>
    </row>
    <row r="23" spans="1:11" s="6" customFormat="1" x14ac:dyDescent="0.3">
      <c r="A23" s="4" t="s">
        <v>85</v>
      </c>
      <c r="B23">
        <v>6741</v>
      </c>
      <c r="C23">
        <v>6689</v>
      </c>
      <c r="D23">
        <v>7252</v>
      </c>
      <c r="E23">
        <v>7796</v>
      </c>
      <c r="F23">
        <v>7620</v>
      </c>
      <c r="G23">
        <v>7906</v>
      </c>
      <c r="H23">
        <v>8164</v>
      </c>
      <c r="I23">
        <v>8785</v>
      </c>
      <c r="J23">
        <v>10780</v>
      </c>
      <c r="K23">
        <v>10693</v>
      </c>
    </row>
    <row r="24" spans="1:11" s="6" customFormat="1" x14ac:dyDescent="0.3">
      <c r="A24" s="4" t="s">
        <v>86</v>
      </c>
      <c r="B24">
        <v>1313</v>
      </c>
      <c r="C24">
        <v>1470</v>
      </c>
      <c r="D24">
        <v>1480</v>
      </c>
      <c r="E24">
        <v>1553</v>
      </c>
      <c r="F24">
        <v>1688</v>
      </c>
      <c r="G24">
        <v>2195</v>
      </c>
      <c r="H24">
        <v>2359</v>
      </c>
      <c r="I24">
        <v>2267</v>
      </c>
      <c r="J24">
        <v>2806</v>
      </c>
      <c r="K24">
        <v>3056</v>
      </c>
    </row>
    <row r="25" spans="1:11" s="6" customFormat="1" x14ac:dyDescent="0.3">
      <c r="A25" s="6" t="s">
        <v>9</v>
      </c>
      <c r="B25">
        <v>486</v>
      </c>
      <c r="C25">
        <v>606</v>
      </c>
      <c r="D25">
        <v>353</v>
      </c>
      <c r="E25">
        <v>322</v>
      </c>
      <c r="F25">
        <v>424</v>
      </c>
      <c r="G25">
        <v>170</v>
      </c>
      <c r="H25">
        <v>219</v>
      </c>
      <c r="I25">
        <v>448</v>
      </c>
      <c r="J25">
        <v>817</v>
      </c>
      <c r="K25">
        <v>1322</v>
      </c>
    </row>
    <row r="26" spans="1:11" s="6" customFormat="1" x14ac:dyDescent="0.3">
      <c r="A26" s="6" t="s">
        <v>10</v>
      </c>
      <c r="B26">
        <v>353</v>
      </c>
      <c r="C26">
        <v>432</v>
      </c>
      <c r="D26">
        <v>520</v>
      </c>
      <c r="E26">
        <v>565</v>
      </c>
      <c r="F26">
        <v>1002</v>
      </c>
      <c r="G26">
        <v>1074</v>
      </c>
      <c r="H26">
        <v>1091</v>
      </c>
      <c r="I26">
        <v>1137</v>
      </c>
      <c r="J26">
        <v>1216</v>
      </c>
      <c r="K26">
        <v>1355</v>
      </c>
    </row>
    <row r="27" spans="1:11" s="6" customFormat="1" x14ac:dyDescent="0.3">
      <c r="A27" s="6" t="s">
        <v>11</v>
      </c>
      <c r="B27">
        <v>17</v>
      </c>
      <c r="C27">
        <v>35</v>
      </c>
      <c r="D27">
        <v>26</v>
      </c>
      <c r="E27">
        <v>33</v>
      </c>
      <c r="F27">
        <v>118</v>
      </c>
      <c r="G27">
        <v>117</v>
      </c>
      <c r="H27">
        <v>106</v>
      </c>
      <c r="I27">
        <v>114</v>
      </c>
      <c r="J27">
        <v>334</v>
      </c>
      <c r="K27">
        <v>395</v>
      </c>
    </row>
    <row r="28" spans="1:11" s="6" customFormat="1" x14ac:dyDescent="0.3">
      <c r="A28" s="6" t="s">
        <v>12</v>
      </c>
      <c r="B28">
        <v>6026</v>
      </c>
      <c r="C28">
        <v>6467</v>
      </c>
      <c r="D28">
        <v>7306</v>
      </c>
      <c r="E28">
        <v>8604</v>
      </c>
      <c r="F28">
        <v>9165</v>
      </c>
      <c r="G28">
        <v>10605</v>
      </c>
      <c r="H28">
        <v>11879</v>
      </c>
      <c r="I28">
        <v>13344</v>
      </c>
      <c r="J28">
        <v>13926</v>
      </c>
      <c r="K28">
        <v>14415</v>
      </c>
    </row>
    <row r="29" spans="1:11" s="6" customFormat="1" x14ac:dyDescent="0.3">
      <c r="A29" s="6" t="s">
        <v>13</v>
      </c>
      <c r="B29">
        <v>1875</v>
      </c>
      <c r="C29">
        <v>1977</v>
      </c>
      <c r="D29">
        <v>2079</v>
      </c>
      <c r="E29">
        <v>2544</v>
      </c>
      <c r="F29">
        <v>2409</v>
      </c>
      <c r="G29">
        <v>2606</v>
      </c>
      <c r="H29">
        <v>2987</v>
      </c>
      <c r="I29">
        <v>3201</v>
      </c>
      <c r="J29">
        <v>3644</v>
      </c>
      <c r="K29">
        <v>3744</v>
      </c>
    </row>
    <row r="30" spans="1:11" s="6" customFormat="1" x14ac:dyDescent="0.3">
      <c r="A30" s="6" t="s">
        <v>14</v>
      </c>
      <c r="B30">
        <v>4151</v>
      </c>
      <c r="C30">
        <v>4476</v>
      </c>
      <c r="D30">
        <v>5214</v>
      </c>
      <c r="E30">
        <v>6054</v>
      </c>
      <c r="F30">
        <v>6748</v>
      </c>
      <c r="G30">
        <v>7995</v>
      </c>
      <c r="H30">
        <v>8879</v>
      </c>
      <c r="I30">
        <v>10120</v>
      </c>
      <c r="J30">
        <v>10277</v>
      </c>
      <c r="K30">
        <v>10649</v>
      </c>
    </row>
    <row r="31" spans="1:11" s="6" customFormat="1" x14ac:dyDescent="0.3">
      <c r="A31" s="6" t="s">
        <v>70</v>
      </c>
      <c r="B31">
        <v>3456</v>
      </c>
      <c r="C31">
        <v>3672</v>
      </c>
      <c r="D31">
        <v>4320</v>
      </c>
      <c r="E31">
        <v>4752</v>
      </c>
      <c r="F31">
        <v>5400</v>
      </c>
      <c r="G31">
        <v>9517.5</v>
      </c>
      <c r="H31">
        <v>7990</v>
      </c>
      <c r="I31">
        <v>9165</v>
      </c>
      <c r="J31">
        <v>9870</v>
      </c>
      <c r="K31">
        <v>12455</v>
      </c>
    </row>
    <row r="32" spans="1:11" s="6" customFormat="1" x14ac:dyDescent="0.3">
      <c r="A32" s="6" t="s">
        <v>101</v>
      </c>
      <c r="B32" s="6">
        <f>B28+B27+B26</f>
        <v>6396</v>
      </c>
      <c r="C32" s="6">
        <f t="shared" ref="C32:K32" si="0">C28+C27+C26</f>
        <v>6934</v>
      </c>
      <c r="D32" s="6">
        <f t="shared" si="0"/>
        <v>7852</v>
      </c>
      <c r="E32" s="6">
        <f t="shared" si="0"/>
        <v>9202</v>
      </c>
      <c r="F32" s="6">
        <f t="shared" si="0"/>
        <v>10285</v>
      </c>
      <c r="G32" s="6">
        <f t="shared" si="0"/>
        <v>11796</v>
      </c>
      <c r="H32" s="6">
        <f t="shared" si="0"/>
        <v>13076</v>
      </c>
      <c r="I32" s="6">
        <f t="shared" si="0"/>
        <v>14595</v>
      </c>
      <c r="J32" s="6">
        <f t="shared" si="0"/>
        <v>15476</v>
      </c>
      <c r="K32" s="6">
        <f t="shared" si="0"/>
        <v>16165</v>
      </c>
    </row>
    <row r="33" spans="1:11" x14ac:dyDescent="0.3">
      <c r="A33" s="6" t="s">
        <v>104</v>
      </c>
      <c r="B33" s="4">
        <f>SUM(B27:B28)</f>
        <v>6043</v>
      </c>
      <c r="C33" s="4">
        <f t="shared" ref="C33:K33" si="1">SUM(C27:C28)</f>
        <v>6502</v>
      </c>
      <c r="D33" s="4">
        <f t="shared" si="1"/>
        <v>7332</v>
      </c>
      <c r="E33" s="4">
        <f t="shared" si="1"/>
        <v>8637</v>
      </c>
      <c r="F33" s="4">
        <f t="shared" si="1"/>
        <v>9283</v>
      </c>
      <c r="G33" s="4">
        <f t="shared" si="1"/>
        <v>10722</v>
      </c>
      <c r="H33" s="4">
        <f t="shared" si="1"/>
        <v>11985</v>
      </c>
      <c r="I33" s="4">
        <f t="shared" si="1"/>
        <v>13458</v>
      </c>
      <c r="J33" s="4">
        <f t="shared" si="1"/>
        <v>14260</v>
      </c>
      <c r="K33" s="4">
        <f t="shared" si="1"/>
        <v>14810</v>
      </c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39</v>
      </c>
    </row>
    <row r="41" spans="1:11" s="18" customFormat="1" x14ac:dyDescent="0.3">
      <c r="A41" s="17" t="s">
        <v>38</v>
      </c>
      <c r="B41" s="12">
        <v>44926</v>
      </c>
      <c r="C41" s="12">
        <v>45016</v>
      </c>
      <c r="D41" s="12">
        <v>45107</v>
      </c>
      <c r="E41" s="12">
        <v>45199</v>
      </c>
      <c r="F41" s="12">
        <v>45291</v>
      </c>
      <c r="G41" s="12">
        <v>45382</v>
      </c>
      <c r="H41" s="12">
        <v>45473</v>
      </c>
      <c r="I41" s="12">
        <v>45565</v>
      </c>
      <c r="J41" s="12">
        <v>45657</v>
      </c>
      <c r="K41" s="12">
        <v>45747</v>
      </c>
    </row>
    <row r="42" spans="1:11" s="6" customFormat="1" x14ac:dyDescent="0.3">
      <c r="A42" s="6" t="s">
        <v>6</v>
      </c>
      <c r="B42">
        <v>15597</v>
      </c>
      <c r="C42">
        <v>15215</v>
      </c>
      <c r="D42">
        <v>15496</v>
      </c>
      <c r="E42">
        <v>15623</v>
      </c>
      <c r="F42">
        <v>15567</v>
      </c>
      <c r="G42">
        <v>15210</v>
      </c>
      <c r="H42">
        <v>15707</v>
      </c>
      <c r="I42">
        <v>15926</v>
      </c>
      <c r="J42">
        <v>15818</v>
      </c>
      <c r="K42">
        <v>15670</v>
      </c>
    </row>
    <row r="43" spans="1:11" s="6" customFormat="1" x14ac:dyDescent="0.3">
      <c r="A43" s="6" t="s">
        <v>7</v>
      </c>
      <c r="B43">
        <v>11903</v>
      </c>
      <c r="C43">
        <v>11643</v>
      </c>
      <c r="D43">
        <v>11832</v>
      </c>
      <c r="E43">
        <v>11828</v>
      </c>
      <c r="F43">
        <v>11902</v>
      </c>
      <c r="G43">
        <v>11675</v>
      </c>
      <c r="H43">
        <v>11965</v>
      </c>
      <c r="I43">
        <v>12139</v>
      </c>
      <c r="J43">
        <v>12123</v>
      </c>
      <c r="K43">
        <v>12052</v>
      </c>
    </row>
    <row r="44" spans="1:11" s="6" customFormat="1" x14ac:dyDescent="0.3">
      <c r="A44" s="6" t="s">
        <v>9</v>
      </c>
      <c r="B44">
        <v>7</v>
      </c>
      <c r="C44">
        <v>240</v>
      </c>
      <c r="D44">
        <v>146</v>
      </c>
      <c r="E44">
        <v>178</v>
      </c>
      <c r="F44">
        <v>184</v>
      </c>
      <c r="G44">
        <v>309</v>
      </c>
      <c r="H44">
        <v>209</v>
      </c>
      <c r="I44">
        <v>203</v>
      </c>
      <c r="J44">
        <v>740</v>
      </c>
      <c r="K44">
        <v>171</v>
      </c>
    </row>
    <row r="45" spans="1:11" s="6" customFormat="1" x14ac:dyDescent="0.3">
      <c r="A45" s="6" t="s">
        <v>10</v>
      </c>
      <c r="B45">
        <v>293</v>
      </c>
      <c r="C45">
        <v>291</v>
      </c>
      <c r="D45">
        <v>286</v>
      </c>
      <c r="E45">
        <v>297</v>
      </c>
      <c r="F45">
        <v>313</v>
      </c>
      <c r="G45">
        <v>320</v>
      </c>
      <c r="H45">
        <v>329</v>
      </c>
      <c r="I45">
        <v>338</v>
      </c>
      <c r="J45">
        <v>341</v>
      </c>
      <c r="K45">
        <v>347</v>
      </c>
    </row>
    <row r="46" spans="1:11" s="6" customFormat="1" x14ac:dyDescent="0.3">
      <c r="A46" s="6" t="s">
        <v>11</v>
      </c>
      <c r="B46">
        <v>29</v>
      </c>
      <c r="C46">
        <v>29</v>
      </c>
      <c r="D46">
        <v>50</v>
      </c>
      <c r="E46">
        <v>88</v>
      </c>
      <c r="F46">
        <v>91</v>
      </c>
      <c r="G46">
        <v>105</v>
      </c>
      <c r="H46">
        <v>93</v>
      </c>
      <c r="I46">
        <v>110</v>
      </c>
      <c r="J46">
        <v>112</v>
      </c>
      <c r="K46">
        <v>80</v>
      </c>
    </row>
    <row r="47" spans="1:11" s="6" customFormat="1" x14ac:dyDescent="0.3">
      <c r="A47" s="6" t="s">
        <v>12</v>
      </c>
      <c r="B47">
        <v>3379</v>
      </c>
      <c r="C47">
        <v>3492</v>
      </c>
      <c r="D47">
        <v>3474</v>
      </c>
      <c r="E47">
        <v>3588</v>
      </c>
      <c r="F47">
        <v>3445</v>
      </c>
      <c r="G47">
        <v>3419</v>
      </c>
      <c r="H47">
        <v>3529</v>
      </c>
      <c r="I47">
        <v>3542</v>
      </c>
      <c r="J47">
        <v>3982</v>
      </c>
      <c r="K47">
        <v>3362</v>
      </c>
    </row>
    <row r="48" spans="1:11" s="6" customFormat="1" x14ac:dyDescent="0.3">
      <c r="A48" s="6" t="s">
        <v>13</v>
      </c>
      <c r="B48">
        <v>898</v>
      </c>
      <c r="C48">
        <v>891</v>
      </c>
      <c r="D48">
        <v>918</v>
      </c>
      <c r="E48">
        <v>931</v>
      </c>
      <c r="F48">
        <v>937</v>
      </c>
      <c r="G48">
        <v>858</v>
      </c>
      <c r="H48">
        <v>917</v>
      </c>
      <c r="I48">
        <v>947</v>
      </c>
      <c r="J48">
        <v>993</v>
      </c>
      <c r="K48">
        <v>887</v>
      </c>
    </row>
    <row r="49" spans="1:11" s="6" customFormat="1" x14ac:dyDescent="0.3">
      <c r="A49" s="6" t="s">
        <v>14</v>
      </c>
      <c r="B49">
        <v>2474</v>
      </c>
      <c r="C49">
        <v>2600</v>
      </c>
      <c r="D49">
        <v>2554</v>
      </c>
      <c r="E49">
        <v>2656</v>
      </c>
      <c r="F49">
        <v>2509</v>
      </c>
      <c r="G49">
        <v>2558</v>
      </c>
      <c r="H49">
        <v>2610</v>
      </c>
      <c r="I49">
        <v>2591</v>
      </c>
      <c r="J49">
        <v>2984</v>
      </c>
      <c r="K49">
        <v>2464</v>
      </c>
    </row>
    <row r="50" spans="1:11" x14ac:dyDescent="0.3">
      <c r="A50" s="6" t="s">
        <v>8</v>
      </c>
      <c r="B50">
        <v>3694</v>
      </c>
      <c r="C50">
        <v>3572</v>
      </c>
      <c r="D50">
        <v>3664</v>
      </c>
      <c r="E50">
        <v>3795</v>
      </c>
      <c r="F50">
        <v>3665</v>
      </c>
      <c r="G50">
        <v>3535</v>
      </c>
      <c r="H50">
        <v>3742</v>
      </c>
      <c r="I50">
        <v>3787</v>
      </c>
      <c r="J50">
        <v>3695</v>
      </c>
      <c r="K50">
        <v>3618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40</v>
      </c>
    </row>
    <row r="56" spans="1:11" s="18" customFormat="1" x14ac:dyDescent="0.3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">
      <c r="A57" s="6" t="s">
        <v>24</v>
      </c>
      <c r="B57">
        <v>216</v>
      </c>
      <c r="C57">
        <v>216</v>
      </c>
      <c r="D57">
        <v>216</v>
      </c>
      <c r="E57">
        <v>216</v>
      </c>
      <c r="F57">
        <v>216</v>
      </c>
      <c r="G57">
        <v>235</v>
      </c>
      <c r="H57">
        <v>235</v>
      </c>
      <c r="I57">
        <v>235</v>
      </c>
      <c r="J57">
        <v>235</v>
      </c>
      <c r="K57">
        <v>235</v>
      </c>
    </row>
    <row r="58" spans="1:11" x14ac:dyDescent="0.3">
      <c r="A58" s="6" t="s">
        <v>25</v>
      </c>
      <c r="B58">
        <v>6357</v>
      </c>
      <c r="C58">
        <v>6528</v>
      </c>
      <c r="D58">
        <v>7065</v>
      </c>
      <c r="E58">
        <v>7651</v>
      </c>
      <c r="F58">
        <v>8013</v>
      </c>
      <c r="G58">
        <v>47439</v>
      </c>
      <c r="H58">
        <v>48826</v>
      </c>
      <c r="I58">
        <v>50069</v>
      </c>
      <c r="J58">
        <v>50983</v>
      </c>
      <c r="K58">
        <v>49167</v>
      </c>
    </row>
    <row r="59" spans="1:11" x14ac:dyDescent="0.3">
      <c r="A59" s="6" t="s">
        <v>71</v>
      </c>
      <c r="B59">
        <v>177</v>
      </c>
      <c r="C59">
        <v>277</v>
      </c>
      <c r="E59">
        <v>99</v>
      </c>
      <c r="H59">
        <v>1043</v>
      </c>
      <c r="I59">
        <v>1219</v>
      </c>
      <c r="J59">
        <v>1484</v>
      </c>
      <c r="K59">
        <v>1648</v>
      </c>
    </row>
    <row r="60" spans="1:11" x14ac:dyDescent="0.3">
      <c r="A60" s="6" t="s">
        <v>72</v>
      </c>
      <c r="B60">
        <v>8043</v>
      </c>
      <c r="C60">
        <v>8685</v>
      </c>
      <c r="D60">
        <v>10581</v>
      </c>
      <c r="E60">
        <v>10663</v>
      </c>
      <c r="F60">
        <v>11924</v>
      </c>
      <c r="G60">
        <v>21066</v>
      </c>
      <c r="H60">
        <v>20402</v>
      </c>
      <c r="I60">
        <v>21554</v>
      </c>
      <c r="J60">
        <v>25787</v>
      </c>
      <c r="K60">
        <v>28813</v>
      </c>
    </row>
    <row r="61" spans="1:11" s="1" customFormat="1" x14ac:dyDescent="0.3">
      <c r="A61" s="1" t="s">
        <v>26</v>
      </c>
      <c r="B61">
        <v>14793</v>
      </c>
      <c r="C61">
        <v>15706</v>
      </c>
      <c r="D61">
        <v>17862</v>
      </c>
      <c r="E61">
        <v>18629</v>
      </c>
      <c r="F61">
        <v>20153</v>
      </c>
      <c r="G61">
        <v>68740</v>
      </c>
      <c r="H61">
        <v>70506</v>
      </c>
      <c r="I61">
        <v>73077</v>
      </c>
      <c r="J61">
        <v>78489</v>
      </c>
      <c r="K61">
        <v>79863</v>
      </c>
    </row>
    <row r="62" spans="1:11" x14ac:dyDescent="0.3">
      <c r="A62" s="6" t="s">
        <v>27</v>
      </c>
      <c r="B62">
        <v>3258</v>
      </c>
      <c r="C62">
        <v>4419</v>
      </c>
      <c r="D62">
        <v>4528</v>
      </c>
      <c r="E62">
        <v>4715</v>
      </c>
      <c r="F62">
        <v>5479</v>
      </c>
      <c r="G62">
        <v>51443</v>
      </c>
      <c r="H62">
        <v>51473</v>
      </c>
      <c r="I62">
        <v>52678</v>
      </c>
      <c r="J62">
        <v>53744</v>
      </c>
      <c r="K62">
        <v>54335</v>
      </c>
    </row>
    <row r="63" spans="1:11" x14ac:dyDescent="0.3">
      <c r="A63" s="6" t="s">
        <v>28</v>
      </c>
      <c r="B63">
        <v>408</v>
      </c>
      <c r="C63">
        <v>229</v>
      </c>
      <c r="D63">
        <v>461</v>
      </c>
      <c r="E63">
        <v>406</v>
      </c>
      <c r="F63">
        <v>597</v>
      </c>
      <c r="G63">
        <v>745</v>
      </c>
      <c r="H63">
        <v>1313</v>
      </c>
      <c r="I63">
        <v>1132</v>
      </c>
      <c r="J63">
        <v>1025</v>
      </c>
      <c r="K63">
        <v>1009</v>
      </c>
    </row>
    <row r="64" spans="1:11" x14ac:dyDescent="0.3">
      <c r="A64" s="6" t="s">
        <v>29</v>
      </c>
      <c r="B64">
        <v>2592</v>
      </c>
      <c r="C64">
        <v>3794</v>
      </c>
      <c r="D64">
        <v>2873</v>
      </c>
      <c r="E64">
        <v>2716</v>
      </c>
      <c r="F64">
        <v>1255</v>
      </c>
      <c r="G64">
        <v>2709</v>
      </c>
      <c r="H64">
        <v>3521</v>
      </c>
      <c r="I64">
        <v>2882</v>
      </c>
      <c r="J64">
        <v>4625</v>
      </c>
      <c r="K64">
        <v>3810</v>
      </c>
    </row>
    <row r="65" spans="1:11" x14ac:dyDescent="0.3">
      <c r="A65" s="6" t="s">
        <v>73</v>
      </c>
      <c r="B65">
        <v>8535</v>
      </c>
      <c r="C65">
        <v>7264</v>
      </c>
      <c r="D65">
        <v>10000</v>
      </c>
      <c r="E65">
        <v>10792</v>
      </c>
      <c r="F65">
        <v>12822</v>
      </c>
      <c r="G65">
        <v>13843</v>
      </c>
      <c r="H65">
        <v>14199</v>
      </c>
      <c r="I65">
        <v>16385</v>
      </c>
      <c r="J65">
        <v>19095</v>
      </c>
      <c r="K65">
        <v>20709</v>
      </c>
    </row>
    <row r="66" spans="1:11" s="1" customFormat="1" x14ac:dyDescent="0.3">
      <c r="A66" s="1" t="s">
        <v>26</v>
      </c>
      <c r="B66">
        <v>14793</v>
      </c>
      <c r="C66">
        <v>15706</v>
      </c>
      <c r="D66">
        <v>17862</v>
      </c>
      <c r="E66">
        <v>18629</v>
      </c>
      <c r="F66">
        <v>20153</v>
      </c>
      <c r="G66">
        <v>68740</v>
      </c>
      <c r="H66">
        <v>70506</v>
      </c>
      <c r="I66">
        <v>73077</v>
      </c>
      <c r="J66">
        <v>78489</v>
      </c>
      <c r="K66">
        <v>79863</v>
      </c>
    </row>
    <row r="67" spans="1:11" s="6" customFormat="1" x14ac:dyDescent="0.3">
      <c r="A67" s="6" t="s">
        <v>78</v>
      </c>
      <c r="B67">
        <v>1264</v>
      </c>
      <c r="C67">
        <v>1085</v>
      </c>
      <c r="D67">
        <v>1310</v>
      </c>
      <c r="E67">
        <v>1816</v>
      </c>
      <c r="F67">
        <v>1149</v>
      </c>
      <c r="G67">
        <v>1758</v>
      </c>
      <c r="H67">
        <v>2236</v>
      </c>
      <c r="I67">
        <v>3079</v>
      </c>
      <c r="J67">
        <v>2997</v>
      </c>
      <c r="K67">
        <v>3819</v>
      </c>
    </row>
    <row r="68" spans="1:11" x14ac:dyDescent="0.3">
      <c r="A68" s="6" t="s">
        <v>45</v>
      </c>
      <c r="B68">
        <v>2726</v>
      </c>
      <c r="C68">
        <v>2541</v>
      </c>
      <c r="D68">
        <v>2513</v>
      </c>
      <c r="E68">
        <v>2574</v>
      </c>
      <c r="F68">
        <v>2767</v>
      </c>
      <c r="G68">
        <v>3579</v>
      </c>
      <c r="H68">
        <v>4096</v>
      </c>
      <c r="I68">
        <v>4251</v>
      </c>
      <c r="J68">
        <v>4022</v>
      </c>
      <c r="K68">
        <v>4415</v>
      </c>
    </row>
    <row r="69" spans="1:11" x14ac:dyDescent="0.3">
      <c r="A69" s="4" t="s">
        <v>87</v>
      </c>
      <c r="B69">
        <v>3009</v>
      </c>
      <c r="C69">
        <v>1828</v>
      </c>
      <c r="D69">
        <v>3485</v>
      </c>
      <c r="E69">
        <v>3757</v>
      </c>
      <c r="F69">
        <v>5113</v>
      </c>
      <c r="G69">
        <v>4471</v>
      </c>
      <c r="H69">
        <v>3846</v>
      </c>
      <c r="I69">
        <v>4678</v>
      </c>
      <c r="J69">
        <v>7559</v>
      </c>
      <c r="K69">
        <v>7554</v>
      </c>
    </row>
    <row r="70" spans="1:11" x14ac:dyDescent="0.3">
      <c r="A70" s="4" t="s">
        <v>74</v>
      </c>
      <c r="B70">
        <v>2163936971</v>
      </c>
      <c r="C70">
        <v>2164349639</v>
      </c>
      <c r="D70">
        <v>2164528777</v>
      </c>
      <c r="E70">
        <v>2164704405</v>
      </c>
      <c r="F70">
        <v>2164704405</v>
      </c>
      <c r="G70">
        <v>2349567819</v>
      </c>
      <c r="H70">
        <v>2349591262</v>
      </c>
      <c r="I70">
        <v>2349591262</v>
      </c>
      <c r="J70">
        <v>2349591262</v>
      </c>
      <c r="K70">
        <v>2349591262</v>
      </c>
    </row>
    <row r="71" spans="1:11" x14ac:dyDescent="0.3">
      <c r="A71" s="4" t="s">
        <v>75</v>
      </c>
    </row>
    <row r="72" spans="1:11" x14ac:dyDescent="0.3">
      <c r="A72" s="4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6" t="s">
        <v>73</v>
      </c>
      <c r="B74" s="4">
        <f>B65-SUM(B67:B69)</f>
        <v>1536</v>
      </c>
      <c r="C74" s="4">
        <f t="shared" ref="C74:K74" si="2">C65-SUM(C67:C69)</f>
        <v>1810</v>
      </c>
      <c r="D74" s="4">
        <f t="shared" si="2"/>
        <v>2692</v>
      </c>
      <c r="E74" s="4">
        <f t="shared" si="2"/>
        <v>2645</v>
      </c>
      <c r="F74" s="4">
        <f t="shared" si="2"/>
        <v>3793</v>
      </c>
      <c r="G74" s="4">
        <f t="shared" si="2"/>
        <v>4035</v>
      </c>
      <c r="H74" s="4">
        <f t="shared" si="2"/>
        <v>4021</v>
      </c>
      <c r="I74" s="4">
        <f t="shared" si="2"/>
        <v>4377</v>
      </c>
      <c r="J74" s="4">
        <f t="shared" si="2"/>
        <v>4517</v>
      </c>
      <c r="K74" s="4">
        <f t="shared" si="2"/>
        <v>4921</v>
      </c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41</v>
      </c>
    </row>
    <row r="81" spans="1:11" s="18" customFormat="1" x14ac:dyDescent="0.3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">
      <c r="A82" s="6" t="s">
        <v>32</v>
      </c>
      <c r="B82">
        <v>4171</v>
      </c>
      <c r="C82">
        <v>5185</v>
      </c>
      <c r="D82">
        <v>6059</v>
      </c>
      <c r="E82">
        <v>5800</v>
      </c>
      <c r="F82">
        <v>7623</v>
      </c>
      <c r="G82">
        <v>9163</v>
      </c>
      <c r="H82">
        <v>9048</v>
      </c>
      <c r="I82">
        <v>9991</v>
      </c>
      <c r="J82">
        <v>15469</v>
      </c>
      <c r="K82">
        <v>11886</v>
      </c>
    </row>
    <row r="83" spans="1:11" s="6" customFormat="1" x14ac:dyDescent="0.3">
      <c r="A83" s="6" t="s">
        <v>33</v>
      </c>
      <c r="B83">
        <v>-282</v>
      </c>
      <c r="C83">
        <v>-1173</v>
      </c>
      <c r="D83">
        <v>-1063</v>
      </c>
      <c r="E83">
        <v>-438</v>
      </c>
      <c r="F83">
        <v>1791</v>
      </c>
      <c r="G83">
        <v>-1228</v>
      </c>
      <c r="H83">
        <v>-1728</v>
      </c>
      <c r="I83">
        <v>-1484</v>
      </c>
      <c r="J83">
        <v>-5324</v>
      </c>
      <c r="K83">
        <v>6473</v>
      </c>
    </row>
    <row r="84" spans="1:11" s="6" customFormat="1" x14ac:dyDescent="0.3">
      <c r="A84" s="6" t="s">
        <v>34</v>
      </c>
      <c r="B84">
        <v>-3864</v>
      </c>
      <c r="C84">
        <v>-4214</v>
      </c>
      <c r="D84">
        <v>-4975</v>
      </c>
      <c r="E84">
        <v>-5390</v>
      </c>
      <c r="F84">
        <v>-6819</v>
      </c>
      <c r="G84">
        <v>-9309</v>
      </c>
      <c r="H84">
        <v>-8015</v>
      </c>
      <c r="I84">
        <v>-8953</v>
      </c>
      <c r="J84">
        <v>-10034</v>
      </c>
      <c r="K84">
        <v>-13101</v>
      </c>
    </row>
    <row r="85" spans="1:11" s="1" customFormat="1" x14ac:dyDescent="0.3">
      <c r="A85" s="6" t="s">
        <v>35</v>
      </c>
      <c r="B85">
        <v>25</v>
      </c>
      <c r="C85">
        <v>-202</v>
      </c>
      <c r="D85">
        <v>21</v>
      </c>
      <c r="E85">
        <v>-28</v>
      </c>
      <c r="F85">
        <v>2595</v>
      </c>
      <c r="G85">
        <v>-1374</v>
      </c>
      <c r="H85">
        <v>-695</v>
      </c>
      <c r="I85">
        <v>-446</v>
      </c>
      <c r="J85">
        <v>111</v>
      </c>
      <c r="K85">
        <v>5258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77</v>
      </c>
      <c r="B90">
        <v>869.5</v>
      </c>
      <c r="C90">
        <v>911.75</v>
      </c>
      <c r="D90">
        <v>1333.35</v>
      </c>
      <c r="E90">
        <v>1706.8</v>
      </c>
      <c r="F90">
        <v>2298.5</v>
      </c>
      <c r="G90">
        <v>2431.5</v>
      </c>
      <c r="H90">
        <v>2048.65</v>
      </c>
      <c r="I90">
        <v>2560.35</v>
      </c>
      <c r="J90">
        <v>2264.35</v>
      </c>
      <c r="K90">
        <v>2258.85</v>
      </c>
    </row>
    <row r="92" spans="1:11" s="1" customFormat="1" x14ac:dyDescent="0.3">
      <c r="A92" s="1" t="s">
        <v>76</v>
      </c>
    </row>
    <row r="93" spans="1:11" x14ac:dyDescent="0.3">
      <c r="A93" s="4" t="s">
        <v>89</v>
      </c>
      <c r="B93" s="24">
        <v>216.39</v>
      </c>
      <c r="C93" s="24">
        <v>216.43</v>
      </c>
      <c r="D93" s="24">
        <v>216.45</v>
      </c>
      <c r="E93" s="24">
        <v>216.47</v>
      </c>
      <c r="F93" s="24">
        <v>216.48</v>
      </c>
      <c r="G93" s="24">
        <v>234.96</v>
      </c>
      <c r="H93" s="24">
        <v>234.96</v>
      </c>
      <c r="I93" s="24">
        <v>234.96</v>
      </c>
      <c r="J93" s="24">
        <v>234.96</v>
      </c>
      <c r="K93" s="24">
        <v>234.96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  <ignoredErrors>
    <ignoredError sqref="B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28771-E59B-47C5-9C19-1B42B9CF738B}">
  <dimension ref="A2:N91"/>
  <sheetViews>
    <sheetView workbookViewId="0">
      <selection activeCell="I20" sqref="I20"/>
    </sheetView>
  </sheetViews>
  <sheetFormatPr defaultRowHeight="14.4" x14ac:dyDescent="0.3"/>
  <cols>
    <col min="2" max="2" width="10.21875" bestFit="1" customWidth="1"/>
    <col min="3" max="3" width="11.33203125" bestFit="1" customWidth="1"/>
    <col min="4" max="4" width="15.44140625" bestFit="1" customWidth="1"/>
    <col min="5" max="5" width="23.77734375" bestFit="1" customWidth="1"/>
    <col min="6" max="6" width="31.33203125" bestFit="1" customWidth="1"/>
    <col min="7" max="7" width="18" bestFit="1" customWidth="1"/>
    <col min="8" max="8" width="44.77734375" bestFit="1" customWidth="1"/>
    <col min="9" max="9" width="30.33203125" bestFit="1" customWidth="1"/>
    <col min="10" max="10" width="20.21875" bestFit="1" customWidth="1"/>
    <col min="11" max="11" width="16.88671875" bestFit="1" customWidth="1"/>
    <col min="12" max="12" width="19" bestFit="1" customWidth="1"/>
    <col min="13" max="13" width="11.44140625" bestFit="1" customWidth="1"/>
    <col min="14" max="14" width="21" bestFit="1" customWidth="1"/>
  </cols>
  <sheetData>
    <row r="2" spans="1:14" x14ac:dyDescent="0.3">
      <c r="A2" t="s">
        <v>194</v>
      </c>
      <c r="B2" s="78" t="s">
        <v>178</v>
      </c>
      <c r="C2" s="80" t="s">
        <v>114</v>
      </c>
      <c r="D2" s="82" t="s">
        <v>183</v>
      </c>
      <c r="E2" s="82" t="s">
        <v>184</v>
      </c>
      <c r="F2" s="80" t="s">
        <v>185</v>
      </c>
      <c r="G2" s="82" t="s">
        <v>186</v>
      </c>
      <c r="H2" s="82" t="s">
        <v>187</v>
      </c>
      <c r="I2" s="80" t="s">
        <v>188</v>
      </c>
      <c r="J2" s="82" t="s">
        <v>189</v>
      </c>
      <c r="K2" s="80" t="s">
        <v>190</v>
      </c>
      <c r="L2" s="80" t="s">
        <v>191</v>
      </c>
      <c r="M2" s="80" t="s">
        <v>192</v>
      </c>
      <c r="N2" s="80" t="s">
        <v>193</v>
      </c>
    </row>
    <row r="3" spans="1:14" x14ac:dyDescent="0.3">
      <c r="A3">
        <v>5</v>
      </c>
      <c r="B3" s="79" t="s">
        <v>182</v>
      </c>
      <c r="C3" s="81">
        <v>705170000</v>
      </c>
      <c r="D3" s="81">
        <v>155220000</v>
      </c>
      <c r="E3" s="81">
        <v>549950000</v>
      </c>
      <c r="F3" s="81">
        <v>214300000</v>
      </c>
      <c r="G3" s="81">
        <v>112800000</v>
      </c>
      <c r="H3" s="81">
        <v>101500000</v>
      </c>
      <c r="I3" s="81">
        <v>490870000</v>
      </c>
      <c r="J3" s="81">
        <v>490610000</v>
      </c>
      <c r="K3" s="81">
        <v>490610000</v>
      </c>
      <c r="L3" s="81">
        <v>490610000</v>
      </c>
      <c r="M3" s="83">
        <v>2349591.2599999998</v>
      </c>
      <c r="N3" s="83">
        <v>2349591.2599999998</v>
      </c>
    </row>
    <row r="4" spans="1:14" x14ac:dyDescent="0.3">
      <c r="A4">
        <v>4</v>
      </c>
      <c r="B4" s="79" t="s">
        <v>181</v>
      </c>
      <c r="C4" s="81">
        <v>730870000</v>
      </c>
      <c r="D4" s="81">
        <v>169980000</v>
      </c>
      <c r="E4" s="81">
        <v>560890000</v>
      </c>
      <c r="F4" s="81">
        <v>225650000</v>
      </c>
      <c r="G4" s="81">
        <v>120280000</v>
      </c>
      <c r="H4" s="81">
        <v>105370000</v>
      </c>
      <c r="I4" s="81">
        <v>505220000</v>
      </c>
      <c r="J4" s="81">
        <v>503040000</v>
      </c>
      <c r="K4" s="81">
        <v>503040000</v>
      </c>
      <c r="L4" s="81">
        <v>503040000</v>
      </c>
      <c r="M4" s="83">
        <v>2349591.2599999998</v>
      </c>
      <c r="N4" s="83">
        <v>2349591.2599999998</v>
      </c>
    </row>
    <row r="5" spans="1:14" x14ac:dyDescent="0.3">
      <c r="A5">
        <v>3</v>
      </c>
      <c r="B5" s="79" t="s">
        <v>180</v>
      </c>
      <c r="C5" s="81">
        <v>784990000</v>
      </c>
      <c r="D5" s="81">
        <v>213240000</v>
      </c>
      <c r="E5" s="81">
        <v>571750000</v>
      </c>
      <c r="F5" s="81">
        <v>270760000</v>
      </c>
      <c r="G5" s="81">
        <v>128760000</v>
      </c>
      <c r="H5" s="81">
        <v>142000000</v>
      </c>
      <c r="I5" s="81">
        <v>514230000</v>
      </c>
      <c r="J5" s="81">
        <v>512180000</v>
      </c>
      <c r="K5" s="81">
        <v>512180000</v>
      </c>
      <c r="L5" s="81">
        <v>512180000</v>
      </c>
      <c r="M5" s="83">
        <v>2349591.2599999998</v>
      </c>
      <c r="N5" s="83">
        <v>2349591.2599999998</v>
      </c>
    </row>
    <row r="6" spans="1:14" x14ac:dyDescent="0.3">
      <c r="A6">
        <v>2</v>
      </c>
      <c r="B6" s="79" t="s">
        <v>179</v>
      </c>
      <c r="C6" s="81">
        <v>798800000</v>
      </c>
      <c r="D6" s="81">
        <v>220510000</v>
      </c>
      <c r="E6" s="81">
        <v>578290000</v>
      </c>
      <c r="F6" s="81">
        <v>302710000</v>
      </c>
      <c r="G6" s="81">
        <v>165370000</v>
      </c>
      <c r="H6" s="81">
        <v>137340000</v>
      </c>
      <c r="I6" s="81">
        <v>496090000</v>
      </c>
      <c r="J6" s="81">
        <v>494020000</v>
      </c>
      <c r="K6" s="81">
        <v>494020000</v>
      </c>
      <c r="L6" s="81">
        <v>494020000</v>
      </c>
      <c r="M6" s="83">
        <v>2349591.2599999998</v>
      </c>
      <c r="N6" s="83">
        <v>2349591.2599999998</v>
      </c>
    </row>
    <row r="47" spans="2:2" x14ac:dyDescent="0.3">
      <c r="B47" s="82"/>
    </row>
    <row r="48" spans="2:2" x14ac:dyDescent="0.3">
      <c r="B48" s="81"/>
    </row>
    <row r="49" spans="2:2" x14ac:dyDescent="0.3">
      <c r="B49" s="81"/>
    </row>
    <row r="50" spans="2:2" x14ac:dyDescent="0.3">
      <c r="B50" s="81"/>
    </row>
    <row r="51" spans="2:2" x14ac:dyDescent="0.3">
      <c r="B51" s="81"/>
    </row>
    <row r="62" spans="2:2" x14ac:dyDescent="0.3">
      <c r="B62" s="80"/>
    </row>
    <row r="63" spans="2:2" x14ac:dyDescent="0.3">
      <c r="B63" s="81"/>
    </row>
    <row r="64" spans="2:2" x14ac:dyDescent="0.3">
      <c r="B64" s="81"/>
    </row>
    <row r="65" spans="2:2" x14ac:dyDescent="0.3">
      <c r="B65" s="81"/>
    </row>
    <row r="66" spans="2:2" x14ac:dyDescent="0.3">
      <c r="B66" s="81"/>
    </row>
    <row r="67" spans="2:2" x14ac:dyDescent="0.3">
      <c r="B67" s="80"/>
    </row>
    <row r="68" spans="2:2" x14ac:dyDescent="0.3">
      <c r="B68" s="81"/>
    </row>
    <row r="69" spans="2:2" x14ac:dyDescent="0.3">
      <c r="B69" s="81"/>
    </row>
    <row r="70" spans="2:2" x14ac:dyDescent="0.3">
      <c r="B70" s="81"/>
    </row>
    <row r="71" spans="2:2" x14ac:dyDescent="0.3">
      <c r="B71" s="81"/>
    </row>
    <row r="72" spans="2:2" x14ac:dyDescent="0.3">
      <c r="B72" s="80"/>
    </row>
    <row r="73" spans="2:2" x14ac:dyDescent="0.3">
      <c r="B73" s="81"/>
    </row>
    <row r="74" spans="2:2" x14ac:dyDescent="0.3">
      <c r="B74" s="81"/>
    </row>
    <row r="75" spans="2:2" x14ac:dyDescent="0.3">
      <c r="B75" s="81"/>
    </row>
    <row r="76" spans="2:2" x14ac:dyDescent="0.3">
      <c r="B76" s="81"/>
    </row>
    <row r="77" spans="2:2" x14ac:dyDescent="0.3">
      <c r="B77" s="80"/>
    </row>
    <row r="78" spans="2:2" x14ac:dyDescent="0.3">
      <c r="B78" s="81"/>
    </row>
    <row r="79" spans="2:2" x14ac:dyDescent="0.3">
      <c r="B79" s="81"/>
    </row>
    <row r="80" spans="2:2" x14ac:dyDescent="0.3">
      <c r="B80" s="81"/>
    </row>
    <row r="81" spans="2:2" x14ac:dyDescent="0.3">
      <c r="B81" s="81"/>
    </row>
    <row r="82" spans="2:2" x14ac:dyDescent="0.3">
      <c r="B82" s="80"/>
    </row>
    <row r="83" spans="2:2" x14ac:dyDescent="0.3">
      <c r="B83" s="81"/>
    </row>
    <row r="84" spans="2:2" x14ac:dyDescent="0.3">
      <c r="B84" s="81"/>
    </row>
    <row r="85" spans="2:2" x14ac:dyDescent="0.3">
      <c r="B85" s="81"/>
    </row>
    <row r="86" spans="2:2" x14ac:dyDescent="0.3">
      <c r="B86" s="81"/>
    </row>
    <row r="87" spans="2:2" x14ac:dyDescent="0.3">
      <c r="B87" s="80"/>
    </row>
    <row r="88" spans="2:2" x14ac:dyDescent="0.3">
      <c r="B88" s="81"/>
    </row>
    <row r="89" spans="2:2" x14ac:dyDescent="0.3">
      <c r="B89" s="81"/>
    </row>
    <row r="90" spans="2:2" x14ac:dyDescent="0.3">
      <c r="B90" s="81"/>
    </row>
    <row r="91" spans="2:2" x14ac:dyDescent="0.3">
      <c r="B91" s="81"/>
    </row>
  </sheetData>
  <sortState xmlns:xlrd2="http://schemas.microsoft.com/office/spreadsheetml/2017/richdata2" ref="A3:N6">
    <sortCondition descending="1" ref="A3:A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Profit &amp; Loss</vt:lpstr>
      <vt:lpstr>Quarters</vt:lpstr>
      <vt:lpstr>Balance Sheet</vt:lpstr>
      <vt:lpstr>Cash Flow</vt:lpstr>
      <vt:lpstr>Customization</vt:lpstr>
      <vt:lpstr>Historical FS</vt:lpstr>
      <vt:lpstr>Ratio Analysis</vt:lpstr>
      <vt:lpstr>DCF Modelling</vt:lpstr>
      <vt:lpstr>COMP Analysis</vt:lpstr>
      <vt:lpstr>Common Size Statement</vt:lpstr>
      <vt:lpstr>Trend Analysis</vt:lpstr>
      <vt:lpstr>Manual Data</vt:lpstr>
      <vt:lpstr>Data Sheet</vt:lpstr>
      <vt:lpstr>Data Sheet 2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Shipra Ghoshal</dc:creator>
  <cp:lastModifiedBy>Shipra Ghoshal</cp:lastModifiedBy>
  <cp:lastPrinted>2012-12-06T18:14:13Z</cp:lastPrinted>
  <dcterms:created xsi:type="dcterms:W3CDTF">2012-08-17T09:55:37Z</dcterms:created>
  <dcterms:modified xsi:type="dcterms:W3CDTF">2025-12-12T09:05:56Z</dcterms:modified>
</cp:coreProperties>
</file>